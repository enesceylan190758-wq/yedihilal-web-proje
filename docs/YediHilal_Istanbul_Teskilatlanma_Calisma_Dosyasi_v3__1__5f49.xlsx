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OKU BENI" sheetId="1" state="visible" r:id="rId3"/>
    <sheet name="1 Panel" sheetId="2" state="visible" r:id="rId4"/>
    <sheet name="2 Vizyon 3 Yil" sheetId="3" state="visible" r:id="rId5"/>
    <sheet name="3 Birim Plani" sheetId="4" state="visible" r:id="rId6"/>
    <sheet name="4 Reisin Istekleri" sheetId="5" state="visible" r:id="rId7"/>
    <sheet name="5 Ekip Degerlendirme" sheetId="6" state="visible" r:id="rId8"/>
    <sheet name="6 Komisyon Birimleri" sheetId="7" state="visible" r:id="rId9"/>
    <sheet name="7 Bolge Yapisi" sheetId="8" state="visible" r:id="rId10"/>
    <sheet name="8 Ilce Haritasi" sheetId="9" state="visible" r:id="rId11"/>
    <sheet name="9 Ilce Envanteri" sheetId="10" state="visible" r:id="rId12"/>
    <sheet name="10 Yeni Teskilat Hatti" sheetId="11" state="visible" r:id="rId13"/>
    <sheet name="11 Aday Havuzu" sheetId="12" state="visible" r:id="rId14"/>
    <sheet name="12 Ziyaret Formu" sheetId="13" state="visible" r:id="rId15"/>
    <sheet name="13 Haftalik Ritim" sheetId="14" state="visible" r:id="rId16"/>
    <sheet name="14 Yillik Takvim" sheetId="15" state="visible" r:id="rId17"/>
    <sheet name="15 Program Katilim" sheetId="16" state="visible" r:id="rId18"/>
    <sheet name="16 STK Iliskileri" sheetId="17" state="visible" r:id="rId19"/>
    <sheet name="17 Faaliyet Raporu Sablonu" sheetId="18" state="visible" r:id="rId20"/>
    <sheet name="18 Toplanti Tutanagi" sheetId="19" state="visible" r:id="rId21"/>
    <sheet name="19 BOS SABLON"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<sst xmlns="http://schemas.openxmlformats.org/spreadsheetml/2006/main" count="1860" uniqueCount="1145">
  <si>
    <t xml:space="preserve">YEDİHİLAL İSTANBUL — TEŞKİLATLANMA BİRİMİ · ÇALIŞMA DOSYASI</t>
  </si>
  <si>
    <t xml:space="preserve">◐
LOGO
BURAYA</t>
  </si>
  <si>
    <t xml:space="preserve">YEDİHİLAL — Yedi Tepeden Yedi Kıtaya</t>
  </si>
  <si>
    <t xml:space="preserve">İLKELERİMİZ:  İman · İlim · İstişare · İrfan · Hikmet · Ahlak · Hareket</t>
  </si>
  <si>
    <t xml:space="preserve">«Nizamsız hâk, nizamlı bâtıla mağlûb olur.»  — Mustafa Sabri Efendi</t>
  </si>
  <si>
    <t xml:space="preserve">«Biz zaferden değil seferden sorumluyuz; gayret bizden, başarı Allah'tan.»</t>
  </si>
  <si>
    <t xml:space="preserve">GAYEMİZ: Yaşantısı ile topluma örneklik teşkil eden, inancımızın yüklediği sorumlulukları üstlenen öncü bir kuşağın yetişmesine katkı sağlamak.</t>
  </si>
  <si>
    <t xml:space="preserve">↑ LOGO: Kurumsal kimliğe uygun YediHilal logosunu bu kutuya yapıştır (Ekle → Resim). Aynısını el kitapçığının kapağına da koy.</t>
  </si>
  <si>
    <t xml:space="preserve">Sorumlu</t>
  </si>
  <si>
    <t xml:space="preserve">Abdülkadir Bey — İstanbul İl Teşkilatlanma Birimi Başkanı</t>
  </si>
  <si>
    <t xml:space="preserve">Görev süresi</t>
  </si>
  <si>
    <t xml:space="preserve">2026–2029 (2-3 yıllık uzun vadeli görev)</t>
  </si>
  <si>
    <t xml:space="preserve">Dosya</t>
  </si>
  <si>
    <t xml:space="preserve">v3 · 11 Temmuz 2026 · 39 ilçe / 4 bölge yapısına göre revize edildi</t>
  </si>
  <si>
    <t xml:space="preserve">Yanında gelen dosyalar</t>
  </si>
  <si>
    <t xml:space="preserve">1) İlçe Karne ve Dashboard Sistemi (ayrı Excel)   2) Teşkilatlanma Birimi El Kitabı (Word)</t>
  </si>
  <si>
    <t xml:space="preserve">BU DOSYADA NE DEĞİŞTİ (v2 → v3)</t>
  </si>
  <si>
    <t xml:space="preserve">ESKİ MANTIK (yanlıştı): Bölgeler, sadece temsilciliğimiz OLAN 9 ilçeye göre kuruluyordu. Bu, teşkilatın gözünü kör eder — olmadığın yeri hiç görmezsin.
YENİ MANTIK: İstanbul'un 39 İLÇESİNİN TAMAMI sisteme girdi. 4 bölge, coğrafi hatlara göre kuruldu (Haliç · Trakya · Boğaz · Marmara). Her ilçenin bir bölgesi, her bölgenin bir takipçisi var. Temsilciliğimiz olan 9 ilçe KOYU YEŞİL. Kalan 30 ilçe boş — ve o boşluk, bölge takipçisinin GÖREVİDİR. Artık kimse 'benim bölgemde iş yok' diyemez: 30 boş ilçe, 30 açık görev demektir.</t>
  </si>
  <si>
    <t xml:space="preserve">4 BÖLGE — ÖZET</t>
  </si>
  <si>
    <t xml:space="preserve">Bölge</t>
  </si>
  <si>
    <t xml:space="preserve">Yaka</t>
  </si>
  <si>
    <t xml:space="preserve">İlçe / mevcut temsilcilik</t>
  </si>
  <si>
    <t xml:space="preserve">Takipçi</t>
  </si>
  <si>
    <t xml:space="preserve">BÖLGE 1 — HALİÇ HATTI</t>
  </si>
  <si>
    <t xml:space="preserve">AVRUPA</t>
  </si>
  <si>
    <t xml:space="preserve">10 ilçe · 1 temsilcilik</t>
  </si>
  <si>
    <t xml:space="preserve">BOŞ</t>
  </si>
  <si>
    <t xml:space="preserve">BÖLGE 2 — TRAKYA HATTI</t>
  </si>
  <si>
    <t xml:space="preserve">15 ilçe · 3 temsilcilik</t>
  </si>
  <si>
    <t xml:space="preserve">BÖLGE 3 — BOĞAZ HATTI</t>
  </si>
  <si>
    <t xml:space="preserve">ANADOLU</t>
  </si>
  <si>
    <t xml:space="preserve">6 ilçe · 2 temsilcilik</t>
  </si>
  <si>
    <t xml:space="preserve">Nusret Onur Anlı</t>
  </si>
  <si>
    <t xml:space="preserve">BÖLGE 4 — MARMARA HATTI</t>
  </si>
  <si>
    <t xml:space="preserve">8 ilçe · 3 temsilcilik</t>
  </si>
  <si>
    <t xml:space="preserve">Mehmet Menteş</t>
  </si>
  <si>
    <t xml:space="preserve">KİM NEYİ DOLDURUR? (bu tabloyu ekibe dağıt — en çok karışan konu budur)</t>
  </si>
  <si>
    <t xml:space="preserve">Sekme</t>
  </si>
  <si>
    <t xml:space="preserve">VERİYİ KİM GİRER</t>
  </si>
  <si>
    <t xml:space="preserve">Ne sıklıkla</t>
  </si>
  <si>
    <t xml:space="preserve">Kimse dokunmaz</t>
  </si>
  <si>
    <t xml:space="preserve">1 Panel</t>
  </si>
  <si>
    <t xml:space="preserve">Kimse — otomatik dolar</t>
  </si>
  <si>
    <t xml:space="preserve">Anlık</t>
  </si>
  <si>
    <t xml:space="preserve">Tüm formüller</t>
  </si>
  <si>
    <t xml:space="preserve">2 Vizyon 3 Yıl</t>
  </si>
  <si>
    <t xml:space="preserve">Birim Başkanı (Abdülkadir Bey)</t>
  </si>
  <si>
    <t xml:space="preserve">Yılda 1 kez gözden geçirilir</t>
  </si>
  <si>
    <t xml:space="preserve">—</t>
  </si>
  <si>
    <t xml:space="preserve">3 Birim Planı</t>
  </si>
  <si>
    <t xml:space="preserve">Birim Başkanı</t>
  </si>
  <si>
    <t xml:space="preserve">Dönem başında</t>
  </si>
  <si>
    <t xml:space="preserve">4 Reisin İstekleri</t>
  </si>
  <si>
    <t xml:space="preserve">Haftalık durum güncellemesi</t>
  </si>
  <si>
    <t xml:space="preserve">5 Ekip Değerlendirme</t>
  </si>
  <si>
    <t xml:space="preserve">Birim Başkanı (gizli — ekibe açılmaz)</t>
  </si>
  <si>
    <t xml:space="preserve">3 ayda 1</t>
  </si>
  <si>
    <t xml:space="preserve">6 Komisyon Birimleri</t>
  </si>
  <si>
    <t xml:space="preserve">Görev dağılımı yapılırken</t>
  </si>
  <si>
    <t xml:space="preserve">7 Bölge Yapısı</t>
  </si>
  <si>
    <t xml:space="preserve">Birim Başkanı (takipçi ataması)</t>
  </si>
  <si>
    <t xml:space="preserve">Değişiklik oldukça</t>
  </si>
  <si>
    <t xml:space="preserve">8 İlçe Haritası</t>
  </si>
  <si>
    <t xml:space="preserve">Sekreterya (yeni temsilcilik açılınca rengi değişir)</t>
  </si>
  <si>
    <t xml:space="preserve">Açılış oldukça</t>
  </si>
  <si>
    <t xml:space="preserve">9 İlçe Envanteri</t>
  </si>
  <si>
    <t xml:space="preserve">BÖLGE TAKİPÇİLERİ (kendi bölgesinin satırları)</t>
  </si>
  <si>
    <t xml:space="preserve">Aylık</t>
  </si>
  <si>
    <t xml:space="preserve">Bölge sütunu</t>
  </si>
  <si>
    <t xml:space="preserve">10 Yeni Teşkilat Hattı</t>
  </si>
  <si>
    <t xml:space="preserve">Yeni Teşkilat Sorumlusu (Oğuzhan) + bölge takipçileri</t>
  </si>
  <si>
    <t xml:space="preserve">Haftalık</t>
  </si>
  <si>
    <t xml:space="preserve">11 Aday Havuzu</t>
  </si>
  <si>
    <t xml:space="preserve">Yeni Teşkilat Sorumlusu + Birim Başkanı (birlikte puanlar)</t>
  </si>
  <si>
    <t xml:space="preserve">Her yeni isimde</t>
  </si>
  <si>
    <t xml:space="preserve">PUAN ve ÖNERİLEN GÖREV sütunları</t>
  </si>
  <si>
    <t xml:space="preserve">12 Ziyaret Formu</t>
  </si>
  <si>
    <t xml:space="preserve">Ziyarete giden ekip</t>
  </si>
  <si>
    <t xml:space="preserve">Her ziyarette</t>
  </si>
  <si>
    <t xml:space="preserve">13 Haftalık Ritim</t>
  </si>
  <si>
    <t xml:space="preserve">Bir kez kurulur</t>
  </si>
  <si>
    <t xml:space="preserve">14 Yıllık Takvim</t>
  </si>
  <si>
    <t xml:space="preserve">Sekreterya</t>
  </si>
  <si>
    <t xml:space="preserve">15 Program Katılım</t>
  </si>
  <si>
    <t xml:space="preserve">BÖLGE TAKİPÇİLERİ</t>
  </si>
  <si>
    <t xml:space="preserve">Program öncesi haftalık</t>
  </si>
  <si>
    <t xml:space="preserve">Toplam ve % sütunları</t>
  </si>
  <si>
    <t xml:space="preserve">16 STK İlişkileri</t>
  </si>
  <si>
    <t xml:space="preserve">Temas oldukça</t>
  </si>
  <si>
    <t xml:space="preserve">17 Faaliyet Raporu Şablonu</t>
  </si>
  <si>
    <t xml:space="preserve">TEMSİLCİLİKLER doldurur, Sekreterya toplar</t>
  </si>
  <si>
    <t xml:space="preserve">18 Toplantı Tutanağı</t>
  </si>
  <si>
    <t xml:space="preserve">Sekreterya (Mücahit)</t>
  </si>
  <si>
    <t xml:space="preserve">Her toplantıda</t>
  </si>
  <si>
    <t xml:space="preserve">AYRI DOSYA: Karne</t>
  </si>
  <si>
    <t xml:space="preserve">Arayan görevli girer, Sekreterya arşivler</t>
  </si>
  <si>
    <t xml:space="preserve">Tüm PUAN sütunları</t>
  </si>
  <si>
    <t xml:space="preserve">ALTIN KURAL: GRİ ve FORMÜLLÜ hiçbir hücreye elle rakam yazılmaz. Bir kişi tek bir formülü ezerse tüm dosya sessizce yalan söylemeye başlar. Formül bozulduysa yeniden yazdırmak dakikalar sürer — ama yanlış rakamla alınmış bir karar aylar sürer.</t>
  </si>
  <si>
    <t xml:space="preserve">RENK KODU</t>
  </si>
  <si>
    <t xml:space="preserve">Mavi yazı</t>
  </si>
  <si>
    <t xml:space="preserve">Senin dolduracağın hücre</t>
  </si>
  <si>
    <t xml:space="preserve">Sarı dolgu</t>
  </si>
  <si>
    <t xml:space="preserve">Karar bekleyen / kritik varsayım</t>
  </si>
  <si>
    <t xml:space="preserve">KOYU YEŞİL</t>
  </si>
  <si>
    <t xml:space="preserve">Temsilciliğimiz OLAN ilçe</t>
  </si>
  <si>
    <t xml:space="preserve">Bölge rengi</t>
  </si>
  <si>
    <t xml:space="preserve">Temsilciliğimiz OLMAYAN ilçe — bölge takipçisinin görevi</t>
  </si>
  <si>
    <t xml:space="preserve">Siyah yazı</t>
  </si>
  <si>
    <t xml:space="preserve">Formül — dokunma</t>
  </si>
  <si>
    <t xml:space="preserve">PANEL — TEK BAKIŞTA İSTANBUL</t>
  </si>
  <si>
    <t xml:space="preserve">KAPSAMA DURUMU</t>
  </si>
  <si>
    <t xml:space="preserve">Gösterge</t>
  </si>
  <si>
    <t xml:space="preserve">Değer</t>
  </si>
  <si>
    <t xml:space="preserve">Hedef</t>
  </si>
  <si>
    <t xml:space="preserve">Yorum</t>
  </si>
  <si>
    <t xml:space="preserve">İstanbul'daki toplam ilçe</t>
  </si>
  <si>
    <t xml:space="preserve">Tamamı sistemde</t>
  </si>
  <si>
    <t xml:space="preserve">Koyu yeşil ilçeler</t>
  </si>
  <si>
    <t xml:space="preserve">Temsilciliğimiz OLMAYAN ilçe</t>
  </si>
  <si>
    <t xml:space="preserve">30 boş ilçe = 30 açık görev</t>
  </si>
  <si>
    <t xml:space="preserve">İSTANBUL KAPSAMA ORANI</t>
  </si>
  <si>
    <t xml:space="preserve">Gerçek başarı ölçütü bu. Bugün: dörtte biri bile değil.</t>
  </si>
  <si>
    <t xml:space="preserve">Öncelik 1 (yakın vadede açılacak) ilçe</t>
  </si>
  <si>
    <t xml:space="preserve">Enerjini buraya yığ</t>
  </si>
  <si>
    <t xml:space="preserve">KRİTİK + YÜKSEK riskli temsilcilik</t>
  </si>
  <si>
    <t xml:space="preserve">Mevcut 9'un yarısından fazlası</t>
  </si>
  <si>
    <t xml:space="preserve">Bölge sayısı</t>
  </si>
  <si>
    <t xml:space="preserve">Haliç · Trakya · Boğaz · Marmara</t>
  </si>
  <si>
    <t xml:space="preserve">Takipçisi ATANMAMIŞ bölge</t>
  </si>
  <si>
    <t xml:space="preserve">Boş bölge = 25 ilçe sahipsiz</t>
  </si>
  <si>
    <t xml:space="preserve">Aday havuzundaki kişi</t>
  </si>
  <si>
    <t xml:space="preserve">Yeni teşkilat buradan çıkar</t>
  </si>
  <si>
    <t xml:space="preserve">Görev verilebilir aday (≥70 puan)</t>
  </si>
  <si>
    <t xml:space="preserve">Temsilci/birim başkanı adayları</t>
  </si>
  <si>
    <t xml:space="preserve">Komisyonun FİİLEN aktif üyesi</t>
  </si>
  <si>
    <t xml:space="preserve">39 ilçelik bir şehir bu kadroyla yönetilmez</t>
  </si>
  <si>
    <t xml:space="preserve">BÖLGE BAZINDA KAPSAMA</t>
  </si>
  <si>
    <t xml:space="preserve">İlçe</t>
  </si>
  <si>
    <t xml:space="preserve">Mevcut</t>
  </si>
  <si>
    <t xml:space="preserve">Kapsama %</t>
  </si>
  <si>
    <t xml:space="preserve">İSTANBUL TOPLAM</t>
  </si>
  <si>
    <t xml:space="preserve">BU AY YAPILMASI ŞART OLAN 5 İŞ</t>
  </si>
  <si>
    <t xml:space="preserve">#</t>
  </si>
  <si>
    <t xml:space="preserve">İş</t>
  </si>
  <si>
    <t xml:space="preserve">Termin</t>
  </si>
  <si>
    <t xml:space="preserve">Durum</t>
  </si>
  <si>
    <t xml:space="preserve">Not</t>
  </si>
  <si>
    <t xml:space="preserve">Bölge 1 (Haliç) ve Bölge 2 (Trakya) takipçilerini bul</t>
  </si>
  <si>
    <t xml:space="preserve">30.09.2026</t>
  </si>
  <si>
    <t xml:space="preserve">Başlamadı</t>
  </si>
  <si>
    <t xml:space="preserve">25 ilçe şu an sahipsiz — en acil iş bu</t>
  </si>
  <si>
    <t xml:space="preserve">Pendik'te asil temsilci meselesini çöz</t>
  </si>
  <si>
    <t xml:space="preserve">30.08.2026</t>
  </si>
  <si>
    <t xml:space="preserve">Vekâlet uzarsa ekip dağılır</t>
  </si>
  <si>
    <t xml:space="preserve">Öncelik 1 ilçelerde koordinatör arayışını başlat</t>
  </si>
  <si>
    <t xml:space="preserve">Sekme 10 — huninin 1. aşaması</t>
  </si>
  <si>
    <t xml:space="preserve">Karne + ziyaret formunu Reis'e onaylat</t>
  </si>
  <si>
    <t xml:space="preserve">31.07.2026</t>
  </si>
  <si>
    <t xml:space="preserve">Taslak hazır</t>
  </si>
  <si>
    <t xml:space="preserve">Ayrı dosya: Karne Sistemi</t>
  </si>
  <si>
    <t xml:space="preserve">Temsilciler toplantısını yeniden başlat</t>
  </si>
  <si>
    <t xml:space="preserve">Karar bekliyor</t>
  </si>
  <si>
    <t xml:space="preserve">Mayıs-Haziran boşluğu kapanmalı</t>
  </si>
  <si>
    <t xml:space="preserve">2026–2029 ÜÇ YILLIK TEŞKİLATLANMA VİZYONU — 39 İLÇELİK İSTANBUL</t>
  </si>
  <si>
    <t xml:space="preserve">Yıl</t>
  </si>
  <si>
    <t xml:space="preserve">Aşama</t>
  </si>
  <si>
    <t xml:space="preserve">Ana fikir</t>
  </si>
  <si>
    <t xml:space="preserve">Somut hedefler</t>
  </si>
  <si>
    <t xml:space="preserve">Ölçüt</t>
  </si>
  <si>
    <t xml:space="preserve">Bitmeden sonrakine geçme</t>
  </si>
  <si>
    <t xml:space="preserve">1. Yıl
2026-27</t>
  </si>
  <si>
    <t xml:space="preserve">KONSOLİDASYON</t>
  </si>
  <si>
    <t xml:space="preserve">Elindekini kurtar, sistemi kur. Kapsama oranını artırmadan önce kaliteyi ayağa kaldır.</t>
  </si>
  <si>
    <t xml:space="preserve">· Mevcut 9 temsilcilik aylık rapor veriyor
· 4 bölgenin 4'ünde de takipçi var
· Kritik 4 temsilcilik (Pendik, Üsküdar, Kağıthane, Ümraniye) kurtarıldı
· Karne sistemi 12 ay kesintisiz işledi
· İcra ekibi 4 → 7-8 kişi
· Öncelik 1 ilçelerin tamamında koordinatör arayışı başladı
· 2-4 yeni temsilcilik (kadrosu tam olan)</t>
  </si>
  <si>
    <t xml:space="preserve">· Kapsama: 9/39 → 11-13/39
· Ortalama karne puanı ≥ 60
· Rapor geri dönüşü %100</t>
  </si>
  <si>
    <t xml:space="preserve">4 bölgenin de takipçisi olmadan 2. yıla geçme.</t>
  </si>
  <si>
    <t xml:space="preserve">2. Yıl
2027-28</t>
  </si>
  <si>
    <t xml:space="preserve">GENİŞLEME</t>
  </si>
  <si>
    <t xml:space="preserve">Sistem oturdu. Şimdi huniyi çalıştır: Öncelik 1 ve 2 ilçelerini sırayla aç.</t>
  </si>
  <si>
    <t xml:space="preserve">· Aday havuzu 50+ isim
· 6-8 yeni ilçe temsilciliği
· Her bölgede en az 4 temsilcilik
· Mahalleleşme pilotu (Kartal, Kadıköy)
· Her temsilcilikte ortaokul + lise birimi</t>
  </si>
  <si>
    <t xml:space="preserve">· Kapsama: 18-20/39 (yaklaşık yarısı)
· Kapanan temsilcilik: 0</t>
  </si>
  <si>
    <t xml:space="preserve">Yeni açılan bir temsilcilik ilk yılında C sınıfına düşüyorsa açılış kriterlerin zayıf — dur ve sıkılaştır.</t>
  </si>
  <si>
    <t xml:space="preserve">3. Yıl
2028-29</t>
  </si>
  <si>
    <t xml:space="preserve">KURUMSALLAŞMA</t>
  </si>
  <si>
    <t xml:space="preserve">Senden sonra da yürüyecek bir yapı bırak. Teşkilat kişiye değil sisteme bağlansın.</t>
  </si>
  <si>
    <t xml:space="preserve">· Bölge takipçileri kendi başına çalışıyor
· Her temsilcilikte 'ikinci adam' yetişti
· Yazılı süreç kılavuzu (açılış-ziyaret-karne-devir)
· Kendi yerine 2 halef adayı</t>
  </si>
  <si>
    <t xml:space="preserve">· Kapsama: 25-30/39
· Sen 2 hafta yokken hiçbir iş aksamıyor</t>
  </si>
  <si>
    <t xml:space="preserve">Halef yetiştirmeden görevi bırakma.</t>
  </si>
  <si>
    <t xml:space="preserve">39 İLÇELİK GERÇEK: Bugün İstanbul'un %23'ündeyiz (9/39). Reis'in '20 temsilcilik' hedefi aslında %51 kapsama demek — yani İstanbul'un yarısı. Bu, 1 yılın işi değil; 2-3 yılın işidir ve tam da senin görev sürene denk gelir. Hedefi reddetme, TAKVİME YAY: 1. yıl 11-13, 2. yıl 18-20, 3. yıl 25-30. Böylece hem Reis'in rakamını tutturursun hem de hiçbiri dağılmaz.</t>
  </si>
  <si>
    <t xml:space="preserve">TEŞKİLATLANMA BİRİMİ 2026/27 PLANI — 8 BAŞLIK</t>
  </si>
  <si>
    <t xml:space="preserve">1) MİSYON</t>
  </si>
  <si>
    <t xml:space="preserve">İstanbul'un 39 ilçesinin tamamında YediHilal teşkilatını insan merkezli olarak kurmak, ayakta tutmak ve büyütmek. Bizim işimiz temsilcilik 'açmak' değil; açılan her temsilciliğin kendi ayağı üzerinde duracak kadroya, düzenli toplantıya, gençlik birimine ve mali sisteme kavuşmasını sağlamaktır. Nicelik değil nitelik esastır. Bu birim, İl Yönetimi ile temsilcilikler arasındaki tek ve düzenli köprüdür; ayrıca İstanbul'daki diğer STK'larla kurumsal ilişkilerin teşkilat ayağını yürütür.</t>
  </si>
  <si>
    <t xml:space="preserve">2) 2026–27 HEDEFLERİ</t>
  </si>
  <si>
    <t xml:space="preserve">Ölçülebilir çıktı</t>
  </si>
  <si>
    <t xml:space="preserve">4 bölgenin 4'üne de takipçi atanması</t>
  </si>
  <si>
    <t xml:space="preserve">Haliç ve Trakya hatlarına isim bulunması</t>
  </si>
  <si>
    <t xml:space="preserve">Takip sisteminin kurulması</t>
  </si>
  <si>
    <t xml:space="preserve">Bölge + karne + ziyaret formu işliyor</t>
  </si>
  <si>
    <t xml:space="preserve">Başkan + Sekreterya</t>
  </si>
  <si>
    <t xml:space="preserve">Mevcut 9 temsilciliğin aktifleşmesi</t>
  </si>
  <si>
    <t xml:space="preserve">9/9 aylık rapor + haftalık YK toplantısı</t>
  </si>
  <si>
    <t xml:space="preserve">31.12.2026</t>
  </si>
  <si>
    <t xml:space="preserve">Bölge takipçileri</t>
  </si>
  <si>
    <t xml:space="preserve">Kritik 4 temsilcilikte kadro yenileme</t>
  </si>
  <si>
    <t xml:space="preserve">Pendik, Üsküdar, Kağıthane, Ümraniye</t>
  </si>
  <si>
    <t xml:space="preserve">31.10.2026</t>
  </si>
  <si>
    <t xml:space="preserve">Başkan + Yeni Teşkilat</t>
  </si>
  <si>
    <t xml:space="preserve">İcra ekibinin genişletilmesi</t>
  </si>
  <si>
    <t xml:space="preserve">Fiilen aktif üye 4 → 7-8</t>
  </si>
  <si>
    <t xml:space="preserve">Öncelik 1 ilçelerde koordinatör arayışı</t>
  </si>
  <si>
    <t xml:space="preserve">15 ilçenin tamamında en az 1 isimle temas</t>
  </si>
  <si>
    <t xml:space="preserve">Yeni Teşkilat + bölge takipçileri</t>
  </si>
  <si>
    <t xml:space="preserve">Aday havuzunun kurulması</t>
  </si>
  <si>
    <t xml:space="preserve">En az 30 isim, puanlanmış</t>
  </si>
  <si>
    <t xml:space="preserve">Yeni Teşkilat</t>
  </si>
  <si>
    <t xml:space="preserve">Yeni ilçe temsilciliği</t>
  </si>
  <si>
    <t xml:space="preserve">Kadrosu tam 2-4 ilçe</t>
  </si>
  <si>
    <t xml:space="preserve">Dönem sonu</t>
  </si>
  <si>
    <t xml:space="preserve">Her mevcut temsilciliğe en az 1 ziyaret</t>
  </si>
  <si>
    <t xml:space="preserve">9 ziyaret formu, YK üyesi eşliğinde</t>
  </si>
  <si>
    <t xml:space="preserve">Ziyaret Birimi</t>
  </si>
  <si>
    <t xml:space="preserve">İstanbul İl Teşkilat Kampı</t>
  </si>
  <si>
    <t xml:space="preserve">Eylül-Ekim, dönem planlama çıktısı</t>
  </si>
  <si>
    <t xml:space="preserve">Ekim 2026</t>
  </si>
  <si>
    <t xml:space="preserve">Başkan + Ömer Faruk</t>
  </si>
  <si>
    <t xml:space="preserve">STK ilişkileri hattı</t>
  </si>
  <si>
    <t xml:space="preserve">6 kurumla düzenli temas, 2 ortak program</t>
  </si>
  <si>
    <t xml:space="preserve">STK Birimi</t>
  </si>
  <si>
    <t xml:space="preserve">3) HAFTALIK YAPILACAKLAR</t>
  </si>
  <si>
    <t xml:space="preserve">Nasıl</t>
  </si>
  <si>
    <t xml:space="preserve">Gün</t>
  </si>
  <si>
    <t xml:space="preserve">Çıktı</t>
  </si>
  <si>
    <t xml:space="preserve">Komisyon toplantısı</t>
  </si>
  <si>
    <t xml:space="preserve">Gündemli, tutanaklı, karar tablolu (Sekme 18)</t>
  </si>
  <si>
    <t xml:space="preserve">Pazartesi 21:00</t>
  </si>
  <si>
    <t xml:space="preserve">Tutanak</t>
  </si>
  <si>
    <t xml:space="preserve">Bölge turu</t>
  </si>
  <si>
    <t xml:space="preserve">Her takipçi kendi bölgesindeki MEVCUT temsilcileri arar</t>
  </si>
  <si>
    <t xml:space="preserve">Salı–Çarşamba</t>
  </si>
  <si>
    <t xml:space="preserve">Bölge özeti</t>
  </si>
  <si>
    <t xml:space="preserve">Hedef ilçe teması</t>
  </si>
  <si>
    <t xml:space="preserve">Her takipçi kendi bölgesindeki 1 HEDEF ilçede yeni temas kurar</t>
  </si>
  <si>
    <t xml:space="preserve">Hafta içi</t>
  </si>
  <si>
    <t xml:space="preserve">Aday havuzuna giriş</t>
  </si>
  <si>
    <t xml:space="preserve">Saha yarım günü</t>
  </si>
  <si>
    <t xml:space="preserve">Perşembe işten erken çık: ziyaret + telefon trafiği</t>
  </si>
  <si>
    <t xml:space="preserve">Perşembe öğleden sonra</t>
  </si>
  <si>
    <t xml:space="preserve">Temas kaydı</t>
  </si>
  <si>
    <t xml:space="preserve">Dernek tam günü</t>
  </si>
  <si>
    <t xml:space="preserve">Gelen-giden ve aday görüşmeleri, temsilcilik ziyareti</t>
  </si>
  <si>
    <t xml:space="preserve">Cumartesi</t>
  </si>
  <si>
    <t xml:space="preserve">Aday havuzu girişi</t>
  </si>
  <si>
    <t xml:space="preserve">Reis'e haftalık özet</t>
  </si>
  <si>
    <t xml:space="preserve">5 madde: yapılan / yapılmayan / engel / karar / rakam</t>
  </si>
  <si>
    <t xml:space="preserve">Cuma</t>
  </si>
  <si>
    <t xml:space="preserve">Haftalık özet</t>
  </si>
  <si>
    <t xml:space="preserve">4) AYLIK YAPILACAKLAR</t>
  </si>
  <si>
    <t xml:space="preserve">Zaman</t>
  </si>
  <si>
    <t xml:space="preserve">Temsilciler Aylık Toplantısı</t>
  </si>
  <si>
    <t xml:space="preserve">Başkan düzeyinde katılım zorunlu</t>
  </si>
  <si>
    <t xml:space="preserve">Ayın ilk haftası</t>
  </si>
  <si>
    <t xml:space="preserve">Tutanak + yoklama</t>
  </si>
  <si>
    <t xml:space="preserve">Faaliyet raporlarının toplanması</t>
  </si>
  <si>
    <t xml:space="preserve">Sekme 17 formatı; Sekreterya toplar</t>
  </si>
  <si>
    <t xml:space="preserve">Ayın son 3 günü</t>
  </si>
  <si>
    <t xml:space="preserve">9 dolu form</t>
  </si>
  <si>
    <t xml:space="preserve">Karne aramaları ve puanlama</t>
  </si>
  <si>
    <t xml:space="preserve">Ayrı dosya: Karne Sistemi. Arayan görevli 12 soruyu sorar.</t>
  </si>
  <si>
    <t xml:space="preserve">Ayın son haftası</t>
  </si>
  <si>
    <t xml:space="preserve">Karne + dashboard</t>
  </si>
  <si>
    <t xml:space="preserve">En az 2 temsilcilik ziyareti</t>
  </si>
  <si>
    <t xml:space="preserve">Cumartesi sabahı — Çağın Sancaktarı ders saatinde</t>
  </si>
  <si>
    <t xml:space="preserve">Ay içinde</t>
  </si>
  <si>
    <t xml:space="preserve">2 ziyaret formu</t>
  </si>
  <si>
    <t xml:space="preserve">D sınıfı temsilciliklerle birebir</t>
  </si>
  <si>
    <t xml:space="preserve">50 puan altındakilerle yüz yüze</t>
  </si>
  <si>
    <t xml:space="preserve">Karne sonrası 10 gün</t>
  </si>
  <si>
    <t xml:space="preserve">Görüşme notu</t>
  </si>
  <si>
    <t xml:space="preserve">Hedef ilçe ilerleme oturumu</t>
  </si>
  <si>
    <t xml:space="preserve">30 hedef ilçenin huni aşamaları gözden geçirilir</t>
  </si>
  <si>
    <t xml:space="preserve">Ayda 1</t>
  </si>
  <si>
    <t xml:space="preserve">Sekme 10 güncel</t>
  </si>
  <si>
    <t xml:space="preserve">Aday değerlendirme oturumu</t>
  </si>
  <si>
    <t xml:space="preserve">Yeni isimler puanlanır, görev önerilir</t>
  </si>
  <si>
    <t xml:space="preserve">Sekme 11 güncel</t>
  </si>
  <si>
    <t xml:space="preserve">Reis'e aylık teşkilat raporu</t>
  </si>
  <si>
    <t xml:space="preserve">Karne + kapsama + ziyaret + risk</t>
  </si>
  <si>
    <t xml:space="preserve">Aylık rapor</t>
  </si>
  <si>
    <t xml:space="preserve">5) YILLIK PROJELER</t>
  </si>
  <si>
    <t xml:space="preserve">Proje</t>
  </si>
  <si>
    <t xml:space="preserve">İçerik</t>
  </si>
  <si>
    <t xml:space="preserve">Dönem</t>
  </si>
  <si>
    <t xml:space="preserve">39 İlçe Kapsama Programı</t>
  </si>
  <si>
    <t xml:space="preserve">İstanbul'un tamamının haritalanması ve sıralı açılış planı</t>
  </si>
  <si>
    <t xml:space="preserve">Tüm dönem</t>
  </si>
  <si>
    <t xml:space="preserve">Dönem değerlendirme + planlama</t>
  </si>
  <si>
    <t xml:space="preserve">Eylül–Ekim 2026</t>
  </si>
  <si>
    <t xml:space="preserve">Başkan</t>
  </si>
  <si>
    <t xml:space="preserve">Bölge Takipçiliği Sistemi</t>
  </si>
  <si>
    <t xml:space="preserve">4 hat, 4 takipçi, yazılı görev tanımı</t>
  </si>
  <si>
    <t xml:space="preserve">Temmuz–Eylül</t>
  </si>
  <si>
    <t xml:space="preserve">Karne ve Ödül Sistemi</t>
  </si>
  <si>
    <t xml:space="preserve">Yıl sonu en yüksek 3 temsilcilik</t>
  </si>
  <si>
    <t xml:space="preserve">Aralık 2026</t>
  </si>
  <si>
    <t xml:space="preserve">Veri ve Raporlama</t>
  </si>
  <si>
    <t xml:space="preserve">Mahalleleşme Pilotu</t>
  </si>
  <si>
    <t xml:space="preserve">Kartal ve Kadıköy'de mahalle ekibi denemesi</t>
  </si>
  <si>
    <t xml:space="preserve">Kasım–Mart</t>
  </si>
  <si>
    <t xml:space="preserve">Bölge 4 takipçisi</t>
  </si>
  <si>
    <t xml:space="preserve">STK İlişkileri Programı</t>
  </si>
  <si>
    <t xml:space="preserve">Eğitim-Bir-Sen, İlim Yayma, İHH, UDEF, MÜSİAD + imam/öğretmen ağı</t>
  </si>
  <si>
    <t xml:space="preserve">Tüm yıl</t>
  </si>
  <si>
    <t xml:space="preserve">Dönemlik Planlama Kampları</t>
  </si>
  <si>
    <t xml:space="preserve">Yaz + kış</t>
  </si>
  <si>
    <t xml:space="preserve">Temmuz + Ocak</t>
  </si>
  <si>
    <t xml:space="preserve">Devir Dosyası</t>
  </si>
  <si>
    <t xml:space="preserve">Bu Excel'in canlı tutulması — halefin için</t>
  </si>
  <si>
    <t xml:space="preserve">Sürekli</t>
  </si>
  <si>
    <t xml:space="preserve">6) PERFORMANS KRİTERLERİ (KPI) — BİRİMİN KENDİ KARNESİ</t>
  </si>
  <si>
    <t xml:space="preserve">KPI</t>
  </si>
  <si>
    <t xml:space="preserve">Nasıl ölçülür</t>
  </si>
  <si>
    <t xml:space="preserve">Sıklık</t>
  </si>
  <si>
    <t xml:space="preserve">Temsilciliği olan ilçe / 39</t>
  </si>
  <si>
    <t xml:space="preserve">1. yıl sonu: %30</t>
  </si>
  <si>
    <t xml:space="preserve">Çeyreklik</t>
  </si>
  <si>
    <t xml:space="preserve">Bölge takipçisi doluluk oranı</t>
  </si>
  <si>
    <t xml:space="preserve">Takipçisi atanmış bölge / 4</t>
  </si>
  <si>
    <t xml:space="preserve">%100</t>
  </si>
  <si>
    <t xml:space="preserve">Aktif temsilcilik oranı</t>
  </si>
  <si>
    <t xml:space="preserve">Rapor veren + haftalık toplantı yapan / mevcut</t>
  </si>
  <si>
    <t xml:space="preserve">%90</t>
  </si>
  <si>
    <t xml:space="preserve">Ortalama karne puanı</t>
  </si>
  <si>
    <t xml:space="preserve">Karne dosyası ortalaması</t>
  </si>
  <si>
    <t xml:space="preserve">≥ 60 (bugün 42)</t>
  </si>
  <si>
    <t xml:space="preserve">En az 1 temas kurulmuş hedef ilçe / 30</t>
  </si>
  <si>
    <t xml:space="preserve">%50</t>
  </si>
  <si>
    <t xml:space="preserve">Aday havuzu büyüklüğü</t>
  </si>
  <si>
    <t xml:space="preserve">Puanlanmış aday sayısı</t>
  </si>
  <si>
    <t xml:space="preserve">≥ 30</t>
  </si>
  <si>
    <t xml:space="preserve">Ziyaret edilen temsilcilik oranı</t>
  </si>
  <si>
    <t xml:space="preserve">Ziyaret formu doldurulmuş / mevcut</t>
  </si>
  <si>
    <t xml:space="preserve">Komisyon fiilî aktif üye sayısı</t>
  </si>
  <si>
    <t xml:space="preserve">Görev alıp tamamlayan üye</t>
  </si>
  <si>
    <t xml:space="preserve">7–8</t>
  </si>
  <si>
    <t xml:space="preserve">Gönüllü dönüşüm oranı</t>
  </si>
  <si>
    <t xml:space="preserve">Aktif göreve giren / başvuran</t>
  </si>
  <si>
    <t xml:space="preserve">%25</t>
  </si>
  <si>
    <t xml:space="preserve">Yeni temsilcilik (kadrosu tam)</t>
  </si>
  <si>
    <t xml:space="preserve">9 kişilik kurucu heyeti tamamlanmış açılış</t>
  </si>
  <si>
    <t xml:space="preserve">2–4</t>
  </si>
  <si>
    <t xml:space="preserve">Yıllık</t>
  </si>
  <si>
    <t xml:space="preserve">7) SORUMLU KİŞİLER — detay: Sekme 5 ve 6</t>
  </si>
  <si>
    <t xml:space="preserve">Komisyon 10 kişi görünüyor; fiilen 4 aktif + 2 yarı aktif. Görev dağılımı gerçek kapasiteye göre yapıldı. Komisyonun kendi alt birimleri Sekme 6'da öneriliyor — bugün sadece 'sekreterya' var, geri kalan her iş isimsiz duruyor. İsimsiz iş, sahipsiz iştir.</t>
  </si>
  <si>
    <t xml:space="preserve">8) RAPORLAMA TAKVİMİ</t>
  </si>
  <si>
    <t xml:space="preserve">Rapor</t>
  </si>
  <si>
    <t xml:space="preserve">Kimden → Kime</t>
  </si>
  <si>
    <t xml:space="preserve">Aylık Faaliyet Raporu</t>
  </si>
  <si>
    <t xml:space="preserve">Temsilci → Bölge takipçisi → Sekreterya</t>
  </si>
  <si>
    <t xml:space="preserve">Ayın son günü</t>
  </si>
  <si>
    <t xml:space="preserve">Bölge Özeti (mevcut + hedef ilçeler)</t>
  </si>
  <si>
    <t xml:space="preserve">Bölge takipçisi → Başkan</t>
  </si>
  <si>
    <t xml:space="preserve">Performans Karnesi + Dashboard</t>
  </si>
  <si>
    <t xml:space="preserve">Veri ve Raporlama → Reis + Temsilciler</t>
  </si>
  <si>
    <t xml:space="preserve">Ayın 5'i</t>
  </si>
  <si>
    <t xml:space="preserve">Komisyon Toplantı Tutanağı</t>
  </si>
  <si>
    <t xml:space="preserve">Sekreterya → Komisyon</t>
  </si>
  <si>
    <t xml:space="preserve">24 saat içinde</t>
  </si>
  <si>
    <t xml:space="preserve">Ziyaret Raporu</t>
  </si>
  <si>
    <t xml:space="preserve">Ziyaret Birimi → Komisyon + Reis</t>
  </si>
  <si>
    <t xml:space="preserve">3 gün içinde</t>
  </si>
  <si>
    <t xml:space="preserve">Haftalık Birim Özeti</t>
  </si>
  <si>
    <t xml:space="preserve">Başkan → Reis</t>
  </si>
  <si>
    <t xml:space="preserve">Aylık Teşkilat Raporu</t>
  </si>
  <si>
    <t xml:space="preserve">Kapsama Raporu (39 ilçe)</t>
  </si>
  <si>
    <t xml:space="preserve">Yeni Teşkilat → Başkan → Reis</t>
  </si>
  <si>
    <t xml:space="preserve">Çeyrek sonu</t>
  </si>
  <si>
    <t xml:space="preserve">Dönem Değerlendirme</t>
  </si>
  <si>
    <t xml:space="preserve">Başkan → Reis + GM Teşkilat</t>
  </si>
  <si>
    <t xml:space="preserve">6 ayda 1</t>
  </si>
  <si>
    <t xml:space="preserve">Kamp öncesi</t>
  </si>
  <si>
    <t xml:space="preserve">İL BAŞKANI'NIN TALEPLERİ — GERÇEKÇİLİK SÜZGECİ VE FAZLAMA</t>
  </si>
  <si>
    <t xml:space="preserve">Hiçbir talebe 'hayır' denmiyor — sıraya konuyor. Teşkilatta reddedilen talep sorun çıkarır; sıraya konan talep saygı görür.</t>
  </si>
  <si>
    <t xml:space="preserve">Talep</t>
  </si>
  <si>
    <t xml:space="preserve">Gerçekçilik</t>
  </si>
  <si>
    <t xml:space="preserve">Faz</t>
  </si>
  <si>
    <t xml:space="preserve">Somut çıktı</t>
  </si>
  <si>
    <t xml:space="preserve">Reis'e cevabın</t>
  </si>
  <si>
    <t xml:space="preserve">Mevcut temsilciliklerle görüşülmesi</t>
  </si>
  <si>
    <t xml:space="preserve">Gerçekçi</t>
  </si>
  <si>
    <t xml:space="preserve">FAZ 1</t>
  </si>
  <si>
    <t xml:space="preserve">9 temsilciyle birebir tanışma</t>
  </si>
  <si>
    <t xml:space="preserve">İlk 3 haftada tamamı.</t>
  </si>
  <si>
    <t xml:space="preserve">Temsilciliklerden her ay rapor alınması</t>
  </si>
  <si>
    <t xml:space="preserve">Aylık faaliyet formu, %100 geri dönüş</t>
  </si>
  <si>
    <t xml:space="preserve">Her ay</t>
  </si>
  <si>
    <t xml:space="preserve">Form standardı hazır (Sekme 17).</t>
  </si>
  <si>
    <t xml:space="preserve">Temsilcilikler toplantısının planlanması</t>
  </si>
  <si>
    <t xml:space="preserve">Temmuz-Eylül takvimi + format kararı</t>
  </si>
  <si>
    <t xml:space="preserve">20.07.2026</t>
  </si>
  <si>
    <t xml:space="preserve">Format kararını sizinle netleştirelim: sabah namazı mı, akşam 19:00 mı?</t>
  </si>
  <si>
    <t xml:space="preserve">Çadır kampına katılacak temsilci sayısının artırılması</t>
  </si>
  <si>
    <t xml:space="preserve">9/9 temsilci düzeyinde katılım</t>
  </si>
  <si>
    <t xml:space="preserve">Temsilci gelmezse ekibi hiç gelmez.</t>
  </si>
  <si>
    <t xml:space="preserve">Çadır kampına 300 kişi ile gidilmesi</t>
  </si>
  <si>
    <t xml:space="preserve">ABARTILI</t>
  </si>
  <si>
    <t xml:space="preserve">FAZ 1 (revize)</t>
  </si>
  <si>
    <t xml:space="preserve">Temsilcilik bazında TAAHHÜT toplanır, çıkan rakam hedef olur</t>
  </si>
  <si>
    <t xml:space="preserve">Kamp tarihi</t>
  </si>
  <si>
    <t xml:space="preserve">Geçen yılın rakamı nedir? 9 temsilcilikten 300 = ilçe başı 33 kişi. Taahhüt toplayıp gerçek rakamı size vereyim.</t>
  </si>
  <si>
    <t xml:space="preserve">Temsilcilik ziyareti planlanması (YK dahil)</t>
  </si>
  <si>
    <t xml:space="preserve">Ziyaret takvimi + standart form</t>
  </si>
  <si>
    <t xml:space="preserve">Eylül sonu</t>
  </si>
  <si>
    <t xml:space="preserve">Cumartesi sabahları — Çağın Sancaktarı ders saati, herkes orada.</t>
  </si>
  <si>
    <t xml:space="preserve">İstanbul İl Teşkilat Kampı (Eylül-Ekim)</t>
  </si>
  <si>
    <t xml:space="preserve">FAZ 2</t>
  </si>
  <si>
    <t xml:space="preserve">Tarih, mekân, bütçe, program akışı</t>
  </si>
  <si>
    <t xml:space="preserve">15.08 ön plan</t>
  </si>
  <si>
    <t xml:space="preserve">Ekim'e koyalım; Eylül okul açılışıyla çakışıyor.</t>
  </si>
  <si>
    <t xml:space="preserve">İlk dönem sonu 20 temsilcilik hedefi</t>
  </si>
  <si>
    <t xml:space="preserve">FAZ 2-3</t>
  </si>
  <si>
    <t xml:space="preserve">1. yıl: 2-4 yeni · 2. yıl: 6-8 · 3. yıl: kalanlar</t>
  </si>
  <si>
    <t xml:space="preserve">20 temsilcilik = İstanbul'un %51'i. Bu 1 yılın değil, 3 yılın işi — ki görev sürem de 3 yıl. Takvime yayalım, hedefi tutturayım.</t>
  </si>
  <si>
    <t xml:space="preserve">Gerçekçi — EN KRİTİK</t>
  </si>
  <si>
    <t xml:space="preserve">2 bölge takipçisi + alt birim sorumluları</t>
  </si>
  <si>
    <t xml:space="preserve">Haliç ve Trakya hatlarında 25 ilçe SAHİPSİZ. Bu, listedeki her şeyin ön şartı.</t>
  </si>
  <si>
    <t xml:space="preserve">Haftalık birim toplantılarının yapılması</t>
  </si>
  <si>
    <t xml:space="preserve">Pazartesi 21:00, gündemli, tutanaklı</t>
  </si>
  <si>
    <t xml:space="preserve">Zaten var. Standardı yükselttim.</t>
  </si>
  <si>
    <t xml:space="preserve">YK rehberini gözden geçirip isim önerilmesi</t>
  </si>
  <si>
    <t xml:space="preserve">Boş kadro haritası + her kadroya 2 aday</t>
  </si>
  <si>
    <t xml:space="preserve">31.08.2026</t>
  </si>
  <si>
    <t xml:space="preserve">Aday havuzu kurulduktan sonra anlamlı olur.</t>
  </si>
  <si>
    <t xml:space="preserve">Temsilcilik performans puanlama sistemi</t>
  </si>
  <si>
    <t xml:space="preserve">12 kriter, 100 puan, A/B/C/D + dashboard</t>
  </si>
  <si>
    <t xml:space="preserve">HAZIR — ayrı Karne dosyası. Mevcut karnenizin motorlaştırılmış hâli.</t>
  </si>
  <si>
    <t xml:space="preserve">Temsilcilik ziyaret standart formu</t>
  </si>
  <si>
    <t xml:space="preserve">Tek sayfalık form</t>
  </si>
  <si>
    <t xml:space="preserve">HAZIR — Sekme 12.</t>
  </si>
  <si>
    <t xml:space="preserve">Birimin 8 başlıkta planlanması</t>
  </si>
  <si>
    <t xml:space="preserve">Misyon/Hedef/Haftalık/Aylık/Yıllık/KPI/Sorumlu/Raporlama</t>
  </si>
  <si>
    <t xml:space="preserve">HAZIR — Sekme 3.</t>
  </si>
  <si>
    <t xml:space="preserve">FAZ TANIMI:  FAZ 1 = Temmuz–Eylül (sistem kurulumu)  ·  FAZ 2 = Ekim–Aralık (kadro + ilk yeni ilçeler)  ·  FAZ 3 = 2027+ (asıl büyüme). Reis'e giderken bu tabloyu yazdır — 14 maddenin 14'üne de sahip çıkmış ama sıraya koymuş olursun.</t>
  </si>
  <si>
    <t xml:space="preserve">KOMİSYON EKİBİ — GERÇEK KAPASİTE VE GÖREV TEVDİİ (gizli — ekibe açılmaz)</t>
  </si>
  <si>
    <t xml:space="preserve">Teşkilatta en pahalı hata, 'listede var ama fiilen yok' olan kişiye iş bağlamaktır. Herkes GERÇEK kapasitesine göre konumlandırıldı.</t>
  </si>
  <si>
    <t xml:space="preserve">Kişi</t>
  </si>
  <si>
    <t xml:space="preserve">Gerçek durum</t>
  </si>
  <si>
    <t xml:space="preserve">Kapasite</t>
  </si>
  <si>
    <t xml:space="preserve">Verilecek görev / alt birim</t>
  </si>
  <si>
    <t xml:space="preserve">Sorumlu bölge</t>
  </si>
  <si>
    <t xml:space="preserve">Statü</t>
  </si>
  <si>
    <t xml:space="preserve">Neden bu görev</t>
  </si>
  <si>
    <t xml:space="preserve">Karar</t>
  </si>
  <si>
    <t xml:space="preserve">Mücahit Tiryaki</t>
  </si>
  <si>
    <t xml:space="preserve">Sekreterimiz. Duyuru, tutanak, faaliyet formları, karneler.</t>
  </si>
  <si>
    <t xml:space="preserve">Yüksek — taşıyıcı</t>
  </si>
  <si>
    <t xml:space="preserve">SEKRETERYA BİRİMİ başkanı</t>
  </si>
  <si>
    <t xml:space="preserve">Aktif</t>
  </si>
  <si>
    <t xml:space="preserve">Sistem işleri kişiye değil düzene bağlanır; en düzenli isim burada durmalı.</t>
  </si>
  <si>
    <t xml:space="preserve">Oğuzhan Koçalak</t>
  </si>
  <si>
    <t xml:space="preserve">Yeni isim değerlendirme, gönüllü formu ilk görüşmeleri.</t>
  </si>
  <si>
    <t xml:space="preserve">Yüksek — insan kaynağı</t>
  </si>
  <si>
    <t xml:space="preserve">YENİ TEŞKİLAT BİRİMİ + İNSAN KIYMETLERİ</t>
  </si>
  <si>
    <t xml:space="preserve">30 hedef ilçenin tamamı</t>
  </si>
  <si>
    <t xml:space="preserve">'Olmadığımız ilçede insan bulma' işinin sahibi. Huninin sorumlusu.</t>
  </si>
  <si>
    <t xml:space="preserve">Temsilcilik ilişkileri, duyuru, katılım sayısı. Saha teması güçlü.</t>
  </si>
  <si>
    <t xml:space="preserve">Yüksek — saha</t>
  </si>
  <si>
    <t xml:space="preserve">BÖLGE TAKİPÇİSİ</t>
  </si>
  <si>
    <t xml:space="preserve">BÖLGE 4 — Marmara Hattı (8 ilçe / 3 mevcut)</t>
  </si>
  <si>
    <t xml:space="preserve">Zaten yaptığı iş bu; adı konuldu ve sınırı çizildi.</t>
  </si>
  <si>
    <t xml:space="preserve">YK'da yanında; her noktada gidip gelecek, destek olacak.</t>
  </si>
  <si>
    <t xml:space="preserve">Orta-Yüksek</t>
  </si>
  <si>
    <t xml:space="preserve">BÖLGE 3 — Boğaz Hattı (6 ilçe / 2 mevcut)</t>
  </si>
  <si>
    <t xml:space="preserve">'Her işte destek' profili bölge takipçiliğine birebir uyar: gez, ara, sor, raporla.</t>
  </si>
  <si>
    <t xml:space="preserve">Serdar Alkurt</t>
  </si>
  <si>
    <t xml:space="preserve">Ziyaret olduğunda gelme potansiyeli var.</t>
  </si>
  <si>
    <t xml:space="preserve">Düşük-Orta — etkinlik bazlı</t>
  </si>
  <si>
    <t xml:space="preserve">ZİYARET VE DENETİM BİRİMİ üyesi</t>
  </si>
  <si>
    <t xml:space="preserve">Sabit bölge yok</t>
  </si>
  <si>
    <t xml:space="preserve">Yarı aktif</t>
  </si>
  <si>
    <t xml:space="preserve">Ziyaret olay bazlı iştir, süreklilik gerektirmez. Kapasitesine oturuyor.</t>
  </si>
  <si>
    <t xml:space="preserve">Burak İncecik</t>
  </si>
  <si>
    <t xml:space="preserve">Gelip gidebilir, sekreterya yapabilir.</t>
  </si>
  <si>
    <t xml:space="preserve">Düşük-Orta — destek</t>
  </si>
  <si>
    <t xml:space="preserve">SEKRETERYA YEDEĞİ + Ziyaret Birimi</t>
  </si>
  <si>
    <t xml:space="preserve">Mücahit'e tek kişilik bağımlılığı bu isim kırar. Yedeksiz sistem çöker.</t>
  </si>
  <si>
    <t xml:space="preserve">Eyüp Yazıcı</t>
  </si>
  <si>
    <t xml:space="preserve">Aktif değil — 'yok gibi düşünebiliriz'.</t>
  </si>
  <si>
    <t xml:space="preserve">Yok</t>
  </si>
  <si>
    <t xml:space="preserve">Görev VERİLMEZ. Programlara davet edilir.</t>
  </si>
  <si>
    <t xml:space="preserve">Pasif</t>
  </si>
  <si>
    <t xml:space="preserve">Kapasitesi olmayana iş bağlamak, işi hiç yapmamaktan kötüdür.</t>
  </si>
  <si>
    <t xml:space="preserve">Osman Savaş</t>
  </si>
  <si>
    <t xml:space="preserve">Aktif değil — daha önce görevden müsaade istemişti.</t>
  </si>
  <si>
    <t xml:space="preserve">Onurlu şekilde uğurlanır; istişare listesinde kalır</t>
  </si>
  <si>
    <t xml:space="preserve">Belirsizlik komisyonu yorar; toplantı yeter sayısını da şişirir.</t>
  </si>
  <si>
    <t xml:space="preserve">Turan Çınar</t>
  </si>
  <si>
    <t xml:space="preserve">Tecrübeli büyüğümüz; geri çekilmiş.</t>
  </si>
  <si>
    <t xml:space="preserve">İstişare</t>
  </si>
  <si>
    <t xml:space="preserve">İSTİŞARE ÜYESİ — icra görevi yok</t>
  </si>
  <si>
    <t xml:space="preserve">Tecrübe değerlidir ama icra yükü değildir. Ayda 1 istişareye çağır.</t>
  </si>
  <si>
    <t xml:space="preserve">Ömer Faruk Balta</t>
  </si>
  <si>
    <t xml:space="preserve">İş yoğunluğu var; programlara katılabiliyor.</t>
  </si>
  <si>
    <t xml:space="preserve">Proje bazlı</t>
  </si>
  <si>
    <t xml:space="preserve">İL TEŞKİLAT KAMPI organizasyonu</t>
  </si>
  <si>
    <t xml:space="preserve">Sürekli görev kaldıramaz; tek seferlik büyük iş kaldırabilir.</t>
  </si>
  <si>
    <t xml:space="preserve">Aktif üye</t>
  </si>
  <si>
    <t xml:space="preserve">Fiilî iş gücü (Aktif + 0,5×Yarı)</t>
  </si>
  <si>
    <t xml:space="preserve">YAPISAL TEŞHİS: Kâğıtta 10 kişi, fiilen 4 aktif + 2 yarı aktif. BÖLGE 1 (Haliç, 10 ilçe) ve BÖLGE 2 (Trakya, 15 ilçe) TAKİPÇİSİZ — yani İstanbul'un 25 ilçesi bugün hiç kimsenin sorumluluğunda değil. Reis'ten isteyeceğin '2 kaliteli isim' tam olarak bu iki koltuk içindir ve talebin somut gerekçesi budur: '25 ilçe sahipsiz.'</t>
  </si>
  <si>
    <t xml:space="preserve">TEŞKİLATLANMA KOMİSYONUNUN KENDİ ALT BİRİMLERİ — ÖNERİ</t>
  </si>
  <si>
    <t xml:space="preserve">Bugün komisyonun tek adlandırılmış birimi SEKRETERYA. Geri kalan her iş isimsiz duruyor — isimsiz iş, sahipsiz iştir. Aşağıdaki 8 alt birim, komisyonun yaptığı işleri isimlendirir. Kişi yetmiyorsa bir kişi 2 birim taşır; ama BİRİM İSİMSİZ KALMAZ. Böylece yeni biri geldiğinde 'sen şu birimin başındasın' denir, 'yardım et' denmez.</t>
  </si>
  <si>
    <t xml:space="preserve">Alt birim</t>
  </si>
  <si>
    <t xml:space="preserve">Ne iş yapar</t>
  </si>
  <si>
    <t xml:space="preserve">Haftalık işi</t>
  </si>
  <si>
    <t xml:space="preserve">Aylık işi</t>
  </si>
  <si>
    <t xml:space="preserve">Önerilen sorumlu</t>
  </si>
  <si>
    <t xml:space="preserve">Çıktısı</t>
  </si>
  <si>
    <t xml:space="preserve">SEKRETERYA BİRİMİ</t>
  </si>
  <si>
    <t xml:space="preserve">VAR</t>
  </si>
  <si>
    <t xml:space="preserve">Toplantı duyuru ve tutanakları, arşiv, faaliyet formlarının toplanması, iletişim listelerinin güncelliği.</t>
  </si>
  <si>
    <t xml:space="preserve">Toplantı duyurusu + tutanak</t>
  </si>
  <si>
    <t xml:space="preserve">Faaliyet raporlarını toplama</t>
  </si>
  <si>
    <t xml:space="preserve">Tutanak, arşiv, güncel liste</t>
  </si>
  <si>
    <t xml:space="preserve">BÖLGE TAKİP BİRİMİ</t>
  </si>
  <si>
    <t xml:space="preserve">YENİ</t>
  </si>
  <si>
    <t xml:space="preserve">4 bölgenin takibi. Her takipçi kendi bölgesindeki MEVCUT temsilcilikleri yönetir, HEDEF ilçelerde temas kurar.</t>
  </si>
  <si>
    <t xml:space="preserve">Bölge turu (arama) + bölge özeti</t>
  </si>
  <si>
    <t xml:space="preserve">Bölge raporu + 1 ziyaret</t>
  </si>
  <si>
    <t xml:space="preserve">4 kişi (2'si BOŞ)</t>
  </si>
  <si>
    <t xml:space="preserve">Haftalık bölge özeti</t>
  </si>
  <si>
    <t xml:space="preserve">YENİ TEŞKİLAT BİRİMİ</t>
  </si>
  <si>
    <t xml:space="preserve">30 hedef ilçenin açılış hunisi. Koordinatör arayışı, tanışma toplantıları, kurucu heyet kurulumu.</t>
  </si>
  <si>
    <t xml:space="preserve">Huni aşamalarını güncelleme</t>
  </si>
  <si>
    <t xml:space="preserve">Kapsama raporu</t>
  </si>
  <si>
    <t xml:space="preserve">Yeni temsilcilik dosyası</t>
  </si>
  <si>
    <t xml:space="preserve">İNSAN KIYMETLERİ BİRİMİ</t>
  </si>
  <si>
    <t xml:space="preserve">Aday havuzu. Gönüllü formu başvuruları, ilk görüşmeler, Nitelikli İnsan puanlaması, görev tevdii önerisi.</t>
  </si>
  <si>
    <t xml:space="preserve">Gelen başvurularla görüşme</t>
  </si>
  <si>
    <t xml:space="preserve">Oğuzhan + Başkan</t>
  </si>
  <si>
    <t xml:space="preserve">Puanlanmış aday havuzu</t>
  </si>
  <si>
    <t xml:space="preserve">ZİYARET VE DENETİM BİRİMİ</t>
  </si>
  <si>
    <t xml:space="preserve">Temsilcilik ziyaretleri. Standart form, YK üyesi eşliği, ziyaret raporu.</t>
  </si>
  <si>
    <t xml:space="preserve">En az 2 ziyaret</t>
  </si>
  <si>
    <t xml:space="preserve">Serdar Alkurt + Burak İncecik</t>
  </si>
  <si>
    <t xml:space="preserve">Ziyaret formu ve raporu</t>
  </si>
  <si>
    <t xml:space="preserve">VERİ VE RAPORLAMA BİRİMİ</t>
  </si>
  <si>
    <t xml:space="preserve">Karne aramaları, puanlama, dashboard, Reis'e giden raporlar. Excel dosyalarının bekçisi.</t>
  </si>
  <si>
    <t xml:space="preserve">Program katılım takibi</t>
  </si>
  <si>
    <t xml:space="preserve">Karne + dashboard + aylık rapor</t>
  </si>
  <si>
    <t xml:space="preserve">Mücahit + 1 yeni isim</t>
  </si>
  <si>
    <t xml:space="preserve">Aylık karne ve dashboard</t>
  </si>
  <si>
    <t xml:space="preserve">EĞİTİM VE ORYANTASYON BİRİMİ</t>
  </si>
  <si>
    <t xml:space="preserve">Yeni temsilcilere ve yeni görevlilere YediHilal usulünün öğretilmesi. Rehber, el kitabı, ilk 30 gün programı.</t>
  </si>
  <si>
    <t xml:space="preserve">Yeni görevli oryantasyonu</t>
  </si>
  <si>
    <t xml:space="preserve">Ömer Faruk Balta (proje bazlı)</t>
  </si>
  <si>
    <t xml:space="preserve">Oryantasyon dosyası</t>
  </si>
  <si>
    <t xml:space="preserve">STK VE KURUMSAL İLİŞKİLER</t>
  </si>
  <si>
    <t xml:space="preserve">Diğer STK'lar, müftülükler, imamlar, İHL öğretmenleri, bilgi evleri ile temas. Yeni ilçelerin KAPISI burasıdır.</t>
  </si>
  <si>
    <t xml:space="preserve">1 yeni kurumsal temas</t>
  </si>
  <si>
    <t xml:space="preserve">STK ziyareti</t>
  </si>
  <si>
    <t xml:space="preserve">Başkan (Abdülkadir Bey)</t>
  </si>
  <si>
    <t xml:space="preserve">STK ilişki tablosu</t>
  </si>
  <si>
    <t xml:space="preserve">NASIL UYGULANIR: Bu 8 birimi bir sonraki pazartesi toplantısında ilan et ve YAZILI olarak dağıt. Kişi sayısı yetmediği için bugün bir isim 2 birim taşıyacak — sorun değil. Önemli olan, her işin bir ADI ve bir SAHİBİ olması. Yeni bir kardeş ekibe katıldığında ona 'gel yardım et' demeyeceksin; 'Ziyaret ve Denetim Birimi'nin başındasın, görev tanımın şu' diyeceksin. Teşkilatta insanı tutan şey, görevin ağırlığı değil, görevin NETLİĞİDİR.</t>
  </si>
  <si>
    <t xml:space="preserve">BÖLGE YAPISI — İSTANBUL'UN 39 İLÇESİ, 4 COĞRAFİ HAT</t>
  </si>
  <si>
    <t xml:space="preserve">MANTIK: Bölgeler, temsilciliğimizin OLDUĞU yere göre değil, İSTANBUL'un coğrafyasına göre kuruldu. Her hat coğrafi olarak bitişik ilçelerden oluşur — takipçi tek günde turlayabilsin. Mevcut yük (1-3-2-3 temsilcilik) dört bölgeye dengeli dağıldı.</t>
  </si>
  <si>
    <t xml:space="preserve">Bölge adı</t>
  </si>
  <si>
    <t xml:space="preserve">Kapsama</t>
  </si>
  <si>
    <t xml:space="preserve">Hattın karakteri</t>
  </si>
  <si>
    <t xml:space="preserve">Bu bölgenin 1 numaralı işi</t>
  </si>
  <si>
    <t xml:space="preserve">HALİÇ HATTI</t>
  </si>
  <si>
    <t xml:space="preserve">En yüksek cami, İHL ve üniversite yoğunluğu. YediHilal'in 'cami merkezli hareket' ilkesinin en verimli uygulanacağı hat.</t>
  </si>
  <si>
    <t xml:space="preserve">Bir TAKİPÇİ bul. Sonra Fatih ve Eyüpsultan'da koordinatör ara — İHL ve cami ağı en güçlü burada.</t>
  </si>
  <si>
    <t xml:space="preserve">TRAKYA HATTI</t>
  </si>
  <si>
    <t xml:space="preserve">İstanbul'un en kalabalık genç nüfusu burada. Mevcut 3 temsilcilik burada; büyüme potansiyeli en yüksek hat.</t>
  </si>
  <si>
    <t xml:space="preserve">Bir TAKİPÇİ bul. Sonra Güngören'i aç (Bağcılar-Bahçelievler'in tam ortasında, en kolay açılış).</t>
  </si>
  <si>
    <t xml:space="preserve">BOĞAZ HATTI</t>
  </si>
  <si>
    <t xml:space="preserve">Genel Merkez bu hatta (Üsküdar). Mevcut 2 temsilcilik de kritik durumda — önce kurtarma, sonra genişleme.</t>
  </si>
  <si>
    <t xml:space="preserve">Üsküdar ve Ümraniye'yi KURTAR. İkisi de kadro erimesinde. Genişleme sonra.</t>
  </si>
  <si>
    <t xml:space="preserve">MARMARA HATTI</t>
  </si>
  <si>
    <t xml:space="preserve">Teşkilatın en sağlam hattı (Kartal). Örnek uygulamalar buradan çıkarılıp diğer hatlara taşınacak.</t>
  </si>
  <si>
    <t xml:space="preserve">Pendik'e asil temsilci ata. Kartal'ın iyi uygulamalarını çıkar, diğer hatlara model yap.</t>
  </si>
  <si>
    <t xml:space="preserve">BÖLGE TAKİPÇİSİNİN GÖREV TANIMI (yazılı ver — sözle verilen görev tutmaz)</t>
  </si>
  <si>
    <t xml:space="preserve">Görev</t>
  </si>
  <si>
    <t xml:space="preserve">Bölgesindeki MEVCUT temsilcileri arar, durumunu sorar</t>
  </si>
  <si>
    <t xml:space="preserve">Haftada 1</t>
  </si>
  <si>
    <t xml:space="preserve">Temsilcilik başına 1 satır durum notu</t>
  </si>
  <si>
    <t xml:space="preserve">Bölgesindeki HEDEF ilçelerde yeni temas kurar (imam, öğretmen, genç)</t>
  </si>
  <si>
    <t xml:space="preserve">Haftada en az 1 temas</t>
  </si>
  <si>
    <t xml:space="preserve">Faaliyet raporlarının zamanında gelmesini sağlar</t>
  </si>
  <si>
    <t xml:space="preserve">Gelmezse Sekreterya'ya bildirir</t>
  </si>
  <si>
    <t xml:space="preserve">Program ve kamplarda katılım sayısını toplar</t>
  </si>
  <si>
    <t xml:space="preserve">Program bazında</t>
  </si>
  <si>
    <t xml:space="preserve">Sekme 15'e giriş</t>
  </si>
  <si>
    <t xml:space="preserve">Ayda en az 1 temsilcilik ziyaret eder</t>
  </si>
  <si>
    <t xml:space="preserve">Ziyaret formu (Sekme 12)</t>
  </si>
  <si>
    <t xml:space="preserve">Bölge özetini Başkan'a verir</t>
  </si>
  <si>
    <t xml:space="preserve">Haftalık (Cuma)</t>
  </si>
  <si>
    <t xml:space="preserve">5 satırlık bölge özeti</t>
  </si>
  <si>
    <t xml:space="preserve">Pazartesi toplantısında bölgesini 1 dakikada sunar</t>
  </si>
  <si>
    <t xml:space="preserve">Toplantı tutanağına işlenir</t>
  </si>
  <si>
    <t xml:space="preserve">Karne aramalarını yapar veya destekler</t>
  </si>
  <si>
    <t xml:space="preserve">Karne dosyasına ham veri girişi</t>
  </si>
  <si>
    <t xml:space="preserve">EN KRİTİK BOŞLUK: BÖLGE 1 (Haliç, 10 ilçe) ve BÖLGE 2 (Trakya, 15 ilçe) takipçisiz. İstanbul'un 25 ilçesi bugün kimsenin sorumluluğunda değil — mevcut 4 temsilcilik (Kağıthane, Bağcılar, Bahçelievler, Esenler) dahil. Geçici çözüm: Serdar ve Burak'ı yarı zamanlı 'yoklama' seviyesinde ata. Kalıcı çözüm: Reis'ten 2 isim.</t>
  </si>
  <si>
    <t xml:space="preserve">İSTANBUL TEŞKİLAT HARİTASI — 39 İLÇE / 4 HAT</t>
  </si>
  <si>
    <t xml:space="preserve">AVRUPA YAKASI  ·  25 İLÇE</t>
  </si>
  <si>
    <t xml:space="preserve">ANADOLU YAKASI  ·  14 İLÇE</t>
  </si>
  <si>
    <t xml:space="preserve">BÖLGE 1 — HALİÇ HATTI   (10 ilçe · 1 temsilcilik)</t>
  </si>
  <si>
    <t xml:space="preserve">B
O
Ğ
A
Z
İ
Ç
İ</t>
  </si>
  <si>
    <t xml:space="preserve">BÖLGE 3 — BOĞAZ HATTI   (6 ilçe · 2 temsilcilik)</t>
  </si>
  <si>
    <t xml:space="preserve">Takipçi: BOŞ   ⚠ ATANMADI</t>
  </si>
  <si>
    <t xml:space="preserve">Takipçi: Nusret Onur Anlı</t>
  </si>
  <si>
    <t xml:space="preserve">Fatih</t>
  </si>
  <si>
    <t xml:space="preserve">Eyüpsultan</t>
  </si>
  <si>
    <t xml:space="preserve">Gaziosmanpaşa</t>
  </si>
  <si>
    <t xml:space="preserve">Üsküdar (Kirazlıtepe)</t>
  </si>
  <si>
    <t xml:space="preserve">Ümraniye</t>
  </si>
  <si>
    <t xml:space="preserve">Sancaktepe</t>
  </si>
  <si>
    <t xml:space="preserve">Sultangazi</t>
  </si>
  <si>
    <t xml:space="preserve">Bayrampaşa</t>
  </si>
  <si>
    <t xml:space="preserve">Kağıthane</t>
  </si>
  <si>
    <t xml:space="preserve">Çekmeköy</t>
  </si>
  <si>
    <t xml:space="preserve">Ataşehir</t>
  </si>
  <si>
    <t xml:space="preserve">Beykoz</t>
  </si>
  <si>
    <t xml:space="preserve">Beyoğlu</t>
  </si>
  <si>
    <t xml:space="preserve">Şişli</t>
  </si>
  <si>
    <t xml:space="preserve">Sarıyer</t>
  </si>
  <si>
    <t xml:space="preserve">Beşiktaş</t>
  </si>
  <si>
    <t xml:space="preserve">BÖLGE 4 — MARMARA HATTI   (8 ilçe · 3 temsilcilik)</t>
  </si>
  <si>
    <t xml:space="preserve">Takipçi: Mehmet Menteş</t>
  </si>
  <si>
    <t xml:space="preserve">BÖLGE 2 — TRAKYA HATTI   (15 ilçe · 3 temsilcilik)</t>
  </si>
  <si>
    <t xml:space="preserve">Kadıköy</t>
  </si>
  <si>
    <t xml:space="preserve">Kartal</t>
  </si>
  <si>
    <t xml:space="preserve">Pendik</t>
  </si>
  <si>
    <t xml:space="preserve">Maltepe</t>
  </si>
  <si>
    <t xml:space="preserve">Sultanbeyli</t>
  </si>
  <si>
    <t xml:space="preserve">Tuzla</t>
  </si>
  <si>
    <t xml:space="preserve">Bağcılar</t>
  </si>
  <si>
    <t xml:space="preserve">Bahçelievler</t>
  </si>
  <si>
    <t xml:space="preserve">Esenler</t>
  </si>
  <si>
    <t xml:space="preserve">Şile</t>
  </si>
  <si>
    <t xml:space="preserve">Adalar</t>
  </si>
  <si>
    <t xml:space="preserve">Güngören</t>
  </si>
  <si>
    <t xml:space="preserve">Küçükçekmece</t>
  </si>
  <si>
    <t xml:space="preserve">Başakşehir</t>
  </si>
  <si>
    <t xml:space="preserve">Esenyurt</t>
  </si>
  <si>
    <t xml:space="preserve">Zeytinburnu</t>
  </si>
  <si>
    <t xml:space="preserve">Bakırköy</t>
  </si>
  <si>
    <t xml:space="preserve">Avcılar</t>
  </si>
  <si>
    <t xml:space="preserve">Beylikdüzü</t>
  </si>
  <si>
    <t xml:space="preserve">Büyükçekmece</t>
  </si>
  <si>
    <t xml:space="preserve">Arnavutköy</t>
  </si>
  <si>
    <t xml:space="preserve">Çatalca</t>
  </si>
  <si>
    <t xml:space="preserve">Silivri</t>
  </si>
  <si>
    <t xml:space="preserve">LEJANT</t>
  </si>
  <si>
    <t xml:space="preserve">Tarihî merkez, Haliç ve Boğaz'ın Avrupa yakası  —  Takipçi: BOŞ</t>
  </si>
  <si>
    <t xml:space="preserve">Avrupa yakasının batısı — iç batı ve dış batı  —  Takipçi: BOŞ</t>
  </si>
  <si>
    <t xml:space="preserve">Anadolu yakasının kuzeyi, Boğaz ve çevresi  —  Takipçi: Nusret Onur Anlı</t>
  </si>
  <si>
    <t xml:space="preserve">Anadolu yakasının Marmara sahili  —  Takipçi: Mehmet Menteş</t>
  </si>
  <si>
    <t xml:space="preserve">TEMSİLCİLİĞİMİZ VAR</t>
  </si>
  <si>
    <t xml:space="preserve">9 ilçe — koyu yeşil. Bunları KORUYACAĞIZ.</t>
  </si>
  <si>
    <t xml:space="preserve">TEMSİLCİLİĞİMİZ YOK</t>
  </si>
  <si>
    <t xml:space="preserve">30 ilçe — bölge rengi. Bunlar bölge takipçisinin GÖREVİDİR. Boş kutu = açık görev.</t>
  </si>
  <si>
    <t xml:space="preserve">BU HARİTA NE İŞE YARAR: Bunu yazdır, komisyon odasının duvarına as. Her yeni temsilcilik açıldığında o kutuyu koyu yeşile boya. Ekip, İstanbul'un ne kadarını kapladığını ve daha ne kadar yolu olduğunu tek bakışta görsün.
BUGÜN: 9 yeşil, 30 boş. İstanbul'un %23'ündeyiz.  ·  1 YIL SONRA HEDEF: 11-13 yeşil.  ·  3 YIL SONRA: 25-30 yeşil.</t>
  </si>
  <si>
    <t xml:space="preserve">İLÇE ENVANTERİ — İSTANBUL'UN 39 İLÇESİNİN TAMAMI</t>
  </si>
  <si>
    <t xml:space="preserve">İLÇE</t>
  </si>
  <si>
    <t xml:space="preserve">Temsilci</t>
  </si>
  <si>
    <t xml:space="preserve">Risk</t>
  </si>
  <si>
    <t xml:space="preserve">Öncelik</t>
  </si>
  <si>
    <t xml:space="preserve">Durum notu / potansiyel</t>
  </si>
  <si>
    <t xml:space="preserve">Öncelikli aksiyon</t>
  </si>
  <si>
    <t xml:space="preserve">Ziyaret / temas tarihi</t>
  </si>
  <si>
    <t xml:space="preserve">B1 HALİÇ HATTI</t>
  </si>
  <si>
    <t xml:space="preserve">HEDEF</t>
  </si>
  <si>
    <t xml:space="preserve">Tarihî yarımada. İHL ve üniversite yoğunluğu en yüksek ilçe. Cami merkezli çalışma için en verimli zemin.</t>
  </si>
  <si>
    <t xml:space="preserve">Koordinatör arayışı — bkz. Sekme 10</t>
  </si>
  <si>
    <t xml:space="preserve">Cami merkezli çalışmanın sembol ilçesi. Genç nüfus yoğun.</t>
  </si>
  <si>
    <t xml:space="preserve">Yoğun genç nüfus, muhafazakâr doku. Öncelikli açılış adayı.</t>
  </si>
  <si>
    <t xml:space="preserve">Genç nüfus çok yüksek. Kağıthane ekibi buradan isim çıkarabilir.</t>
  </si>
  <si>
    <t xml:space="preserve">Merkezî konum, ulaşımı kolay.</t>
  </si>
  <si>
    <t xml:space="preserve">MEVCUT</t>
  </si>
  <si>
    <t xml:space="preserve">Adem Abi</t>
  </si>
  <si>
    <t xml:space="preserve">Yüksek</t>
  </si>
  <si>
    <t xml:space="preserve">MEVCUT — Adem Abi. Kadro yaşlanmış, gençleşme şart.</t>
  </si>
  <si>
    <t xml:space="preserve">Gençleştirme planı; genç kadro kazanımı (mahalleleşme sonra)</t>
  </si>
  <si>
    <t xml:space="preserve">Karma doku. Önce cami ve okul ağı kurulmalı.</t>
  </si>
  <si>
    <t xml:space="preserve">Zor zemin. Üniversite üzerinden girilebilir.</t>
  </si>
  <si>
    <t xml:space="preserve">Üniversite yoğunluğu (Boğaziçi, İTÜ). Üniversite birimi ile koordineli.</t>
  </si>
  <si>
    <t xml:space="preserve">En zor zemin. Şimdilik erteleme, üniversite çalışması ile sınırlı tut.</t>
  </si>
  <si>
    <t xml:space="preserve">B2 TRAKYA HATTI</t>
  </si>
  <si>
    <t xml:space="preserve">Düşük</t>
  </si>
  <si>
    <t xml:space="preserve">MEVCUT — genel olarak iyi. Eğitimci takviyesi teyit edilmeli.</t>
  </si>
  <si>
    <t xml:space="preserve">Eğitimci takviyesi teyit; Çağın Sancaktarı grubunu kur</t>
  </si>
  <si>
    <t xml:space="preserve">Yusuf Hoca</t>
  </si>
  <si>
    <t xml:space="preserve">Orta</t>
  </si>
  <si>
    <t xml:space="preserve">MEVCUT — Yusuf Hoca. Okul merkezli aktif ekip, teşkilat düzenine entegre değil.</t>
  </si>
  <si>
    <t xml:space="preserve">Okul ekibi ile teşkilat ekibini ayrıştır; toplantı saatini uyarla</t>
  </si>
  <si>
    <t xml:space="preserve">MEVCUT — durgun. Genç temsilci ve yeni kadro şart.</t>
  </si>
  <si>
    <t xml:space="preserve">Genç temsilci adayı; kurucu heyeti yeniden kur</t>
  </si>
  <si>
    <t xml:space="preserve">Bağcılar ve Bahçelievler'in tam ortasında. En kolay açılacak ilçe.</t>
  </si>
  <si>
    <t xml:space="preserve">İstanbul'un en kalabalık ilçelerinden. Genç nüfus çok yüksek.</t>
  </si>
  <si>
    <t xml:space="preserve">Yeni yerleşim, genç aile yoğunluğu. Cami ve okul altyapısı güçlü.</t>
  </si>
  <si>
    <t xml:space="preserve">Devasa genç nüfus. Zor ama getirisi en yüksek ilçelerden.</t>
  </si>
  <si>
    <t xml:space="preserve">Yoğun doku, İHL güçlü.</t>
  </si>
  <si>
    <t xml:space="preserve">Karma doku. Okul üzerinden girilir.</t>
  </si>
  <si>
    <t xml:space="preserve">Üniversite (İstanbul Üniv. Avcılar) üzerinden girilebilir.</t>
  </si>
  <si>
    <t xml:space="preserve">Yeni yerleşim, orta vadeli hedef.</t>
  </si>
  <si>
    <t xml:space="preserve">Orta vadeli hedef.</t>
  </si>
  <si>
    <t xml:space="preserve">Muhafazakâr doku, potansiyel yüksek ama uzak.</t>
  </si>
  <si>
    <t xml:space="preserve">Uzak, düşük nüfus. Şimdilik erteleme.</t>
  </si>
  <si>
    <t xml:space="preserve">Uzak, düşük öncelik. 3. yıl konusu.</t>
  </si>
  <si>
    <t xml:space="preserve">B3 BOĞAZ HATTI</t>
  </si>
  <si>
    <t xml:space="preserve">KRİTİK</t>
  </si>
  <si>
    <t xml:space="preserve">MEVCUT — KRİTİK. Kadro eriyor, acil genç ekip ve genç temsilci gerek. Genel Merkez de Üsküdar'da.</t>
  </si>
  <si>
    <t xml:space="preserve">Eğitimci vasıflı genç isimler; genç temsilci adayı — ACİL</t>
  </si>
  <si>
    <t xml:space="preserve">Ulvi Abi</t>
  </si>
  <si>
    <t xml:space="preserve">MEVCUT — Ulvi Abi süreçleri takip edemiyor. Akif Kökalan üzerinden görev dağılımı.</t>
  </si>
  <si>
    <t xml:space="preserve">Akif Kökalan üzerinden yeni görev dağılımı; Ulvi Abi'ye onurlu konum</t>
  </si>
  <si>
    <t xml:space="preserve">Ümraniye ekibinden isim çıkabilir. Genç nüfus yoğun.</t>
  </si>
  <si>
    <t xml:space="preserve">Muhafazakâr doku, yeni yerleşim. Yüksek potansiyel.</t>
  </si>
  <si>
    <t xml:space="preserve">Merkezî, ulaşımı kolay. Orta vadede açılabilir.</t>
  </si>
  <si>
    <t xml:space="preserve">Dağınık yerleşim, ulaşım zor. Cami ağı üzerinden girilir.</t>
  </si>
  <si>
    <t xml:space="preserve">B4 MARMARA HATTI</t>
  </si>
  <si>
    <t xml:space="preserve">MEVCUT — başkan ve ekip uyumlu, faaliyet hacmi düşük. Mahalleleşme pilotu adayı.</t>
  </si>
  <si>
    <t xml:space="preserve">Aylık faaliyet hedefi; mahalleleşme pilotu adayı</t>
  </si>
  <si>
    <t xml:space="preserve">MEVCUT — ÖRNEK TEMSİLCİLİK. Yaz okulu düzenli, ekip sağlam. Model olarak sunulmalı.</t>
  </si>
  <si>
    <t xml:space="preserve">İyi uygulamalarını çıkar, diğer hatlara model sun</t>
  </si>
  <si>
    <t xml:space="preserve">Osman Nuri (vekâleten)</t>
  </si>
  <si>
    <t xml:space="preserve">MEVCUT — KRİTİK. Asil temsilci yok, vekâlet belirsiz, ekip dağılma riski.</t>
  </si>
  <si>
    <t xml:space="preserve">Mehmet Emin Bey ile görüş, sonra asil temsilci ata — en geç 30 gün</t>
  </si>
  <si>
    <t xml:space="preserve">Kartal ve Kadıköy'ün arasında. İki ekipten de isim çıkabilir.</t>
  </si>
  <si>
    <t xml:space="preserve">Muhafazakâr doku, genç nüfus yoğun. Pendik toparlanınca sıra bunda.</t>
  </si>
  <si>
    <t xml:space="preserve">Üniversite (Sabancı) ve sanayi. Orta vadeli.</t>
  </si>
  <si>
    <t xml:space="preserve">Uzak, düşük nüfus. Erteleme.</t>
  </si>
  <si>
    <t xml:space="preserve">Çok küçük nüfus. Teşkilat açılması gerekmez, program bazlı temas yeterli.</t>
  </si>
  <si>
    <t xml:space="preserve">TOPLAM İLÇE</t>
  </si>
  <si>
    <t xml:space="preserve">MEVCUT temsilcilik</t>
  </si>
  <si>
    <t xml:space="preserve">HEDEF ilçe</t>
  </si>
  <si>
    <t xml:space="preserve">KAPSAMA ORANI</t>
  </si>
  <si>
    <t xml:space="preserve">Öncelik 1 hedef ilçe</t>
  </si>
  <si>
    <t xml:space="preserve">Öncelik 2 hedef ilçe</t>
  </si>
  <si>
    <t xml:space="preserve">Öncelik 3 hedef ilçe (ertelenen)</t>
  </si>
  <si>
    <t xml:space="preserve">KRİTİK + YÜKSEK riskli mevcut</t>
  </si>
  <si>
    <t xml:space="preserve">ÖNCELİK NE DEMEK:  1 = Yakın vadede aç (genç nüfus yoğun, cami/İHL ağı güçlü, mevcut ekiplerden isim çıkabilir).  2 = Orta vade (zemin var ama zor veya uzak).  3 = Ertele (uzak, düşük nüfus — Çatalca, Silivri, Şile, Adalar, Beşiktaş). Öncelik 3'lere şimdilik temsilcilik değil, program bazlı temas yeterli.
ENERJİNİ ÖNCELİK 1'LERE YIĞ. 15 ilçe var ve bunların çoğu mevcut temsilciliklerimizin komşusu — yani insan kaynağı zaten yakında.</t>
  </si>
  <si>
    <t xml:space="preserve">YENİ TEŞKİLAT HATTI — 30 HEDEF İLÇE, 5 AŞAMALI AÇILIŞ HUNİSİ</t>
  </si>
  <si>
    <t xml:space="preserve">Temsilciliğimiz OLMAYAN 30 ilçenin tamamı burada. Her ilçe 5 aşamalı huniden geçer ve hangi aşamada olduğu her an bellidir. Öncelik 1'ler üstte — enerjini oraya yığ.</t>
  </si>
  <si>
    <t xml:space="preserve">HEDEF İLÇE</t>
  </si>
  <si>
    <t xml:space="preserve">Önc.</t>
  </si>
  <si>
    <t xml:space="preserve">Bulunduğu aşama</t>
  </si>
  <si>
    <t xml:space="preserve">Koordinatör adayı</t>
  </si>
  <si>
    <t xml:space="preserve">Kurucu heyet (/9)</t>
  </si>
  <si>
    <t xml:space="preserve">Sonraki adım</t>
  </si>
  <si>
    <t xml:space="preserve">1 - Koordinatör arayışı</t>
  </si>
  <si>
    <t xml:space="preserve">Toplam hedef ilçe</t>
  </si>
  <si>
    <t xml:space="preserve">Aşama 5'e (açılışa) gelen</t>
  </si>
  <si>
    <t xml:space="preserve">Koordinatörü bulunmuş ilçe</t>
  </si>
  <si>
    <t xml:space="preserve">5 AŞAMALI HUNİ — HER İLÇE BUNDAN GEÇER</t>
  </si>
  <si>
    <t xml:space="preserve">Adı</t>
  </si>
  <si>
    <t xml:space="preserve">Ne yapılır</t>
  </si>
  <si>
    <t xml:space="preserve">Bitiş şartı</t>
  </si>
  <si>
    <t xml:space="preserve">Süre</t>
  </si>
  <si>
    <t xml:space="preserve">1</t>
  </si>
  <si>
    <t xml:space="preserve">Koordinatör arayışı</t>
  </si>
  <si>
    <t xml:space="preserve">İlçede bir isim bul. Kaynaklar: imamlar, İHL öğretmenleri, komşu temsilciliğin oradan gelen üyeleri, gönüllü formu, üniversite öğrencileri, STK temasları, kamplarda parlayan gençler.</t>
  </si>
  <si>
    <t xml:space="preserve">İlçede güvenilir 1 isim + Aday Havuzu'nda 70+ puan</t>
  </si>
  <si>
    <t xml:space="preserve">1-3 ay</t>
  </si>
  <si>
    <t xml:space="preserve">Bölge takipçisi + Yeni Teşkilat</t>
  </si>
  <si>
    <t xml:space="preserve">2</t>
  </si>
  <si>
    <t xml:space="preserve">Tanışma toplantısı</t>
  </si>
  <si>
    <t xml:space="preserve">Koordinatör, ilçedeki muhtemel isimlerle ilk toplantıyı kurar. YediHilal anlatılır. Katılanlardan YENİ İSİM TAVSİYESİ alınır, onlar da bir sonrakine çağrılır.</t>
  </si>
  <si>
    <t xml:space="preserve">En az 2 toplantı, katılım 6+ kişi</t>
  </si>
  <si>
    <t xml:space="preserve">1-2 ay</t>
  </si>
  <si>
    <t xml:space="preserve">Koordinatör</t>
  </si>
  <si>
    <t xml:space="preserve">3</t>
  </si>
  <si>
    <t xml:space="preserve">Kurucu heyet</t>
  </si>
  <si>
    <t xml:space="preserve">9 kişilik kurucu heyet + istişare heyeti. İçinde öğretmen/imam/avukat/mali müşavir ve liseli-üniversiteli genç bulunmalı (Rehber şartı).</t>
  </si>
  <si>
    <t xml:space="preserve">9 kişi tamam + görev dağılımı</t>
  </si>
  <si>
    <t xml:space="preserve">2-3 ay</t>
  </si>
  <si>
    <t xml:space="preserve">Koordinatör + Başkan</t>
  </si>
  <si>
    <t xml:space="preserve">4</t>
  </si>
  <si>
    <t xml:space="preserve">Mekân + mali taahhüt</t>
  </si>
  <si>
    <t xml:space="preserve">Rehberdeki mekân kriterleri (düzayak giriş, camiye yakın, ayrı odalar) + aylık kiranın 2 katı gelir taahhüdü.</t>
  </si>
  <si>
    <t xml:space="preserve">Mekân + aidat taahhüdü</t>
  </si>
  <si>
    <t xml:space="preserve">5</t>
  </si>
  <si>
    <t xml:space="preserve">Açılış</t>
  </si>
  <si>
    <t xml:space="preserve">Genel Merkez Yönetim Kurulu'na sunulur; onay çıkarsa temsilcilik açılır. Haritada kutu KOYU YEŞİL olur.</t>
  </si>
  <si>
    <t xml:space="preserve">GM onayı + resmî açılış</t>
  </si>
  <si>
    <t xml:space="preserve">1 ay</t>
  </si>
  <si>
    <t xml:space="preserve">Başkan + GM Teşkilat</t>
  </si>
  <si>
    <t xml:space="preserve">ALTIN KURAL: Aşama 3 (9 kişilik kurucu heyet) tamamlanmadan hiçbir ilçeyi 'açıldı' sayma ve Reis'e sayı olarak sunma. Rehber bunu açıkça yazıyor. Erken verilen sayı, 6 ay sonra dağılan bir temsilcilik olarak önüne gelir.
İNSAN NEREDEN BULUNUR: 1) Camiler ve imamlar (rehberin 'cami merkezli hareket' ilkesi tam bunun için) · 2) İmam-Hatip öğretmenleri (öncelikli kitle) · 3) Komşu temsilcilikteki, hedef ilçede oturan üyeler — EN HIZLI YOL BU · 4) Üniversite öğrencileri · 5) Gönüllü formu · 6) STK temasların (Sekme 16) · 7) Kamplarda ve salon programlarında parlayan gençler.</t>
  </si>
  <si>
    <t xml:space="preserve">ADAY HAVUZU — «NİTELİKLİ İNSAN» DEĞERLENDİRME VE GÖREV TEVDİİ</t>
  </si>
  <si>
    <t xml:space="preserve">Kriterler uydurma değil: 6'sı YediHilal'in kendi sunumundaki «Nitelikli İnsan» maddeleri, 4'ü Teşkilatlanma Rehberi'ndeki «Görevli/Yönetici Kriterleri». Her kriter 0-5 puanlanır; toplam ve önerilen görev otomatik çıkar.</t>
  </si>
  <si>
    <t xml:space="preserve">Sorumluluk sahibi
(verilen işi bitirir)</t>
  </si>
  <si>
    <t xml:space="preserve">Eğitimli / fikrî donanım</t>
  </si>
  <si>
    <t xml:space="preserve">İşini bilen
(mesleki yetkinlik)</t>
  </si>
  <si>
    <t xml:space="preserve">Şuurlu, dert sahibi</t>
  </si>
  <si>
    <t xml:space="preserve">İnsanlarla iyi geçinen,
çevresinde saygın</t>
  </si>
  <si>
    <t xml:space="preserve">Fedakârlık
(zaman ayırabiliyor)</t>
  </si>
  <si>
    <t xml:space="preserve">Dinî hassasiyet,
temel ibadetlerde amel</t>
  </si>
  <si>
    <t xml:space="preserve">Siyasi aşırılık ve
meşrep taassubu yok</t>
  </si>
  <si>
    <t xml:space="preserve">Başka gençlik çalışmasında
aktif görevi yok</t>
  </si>
  <si>
    <t xml:space="preserve">Hukuki/ticari/ahlaki
yıpranmışlık yok</t>
  </si>
  <si>
    <t xml:space="preserve">Ad Soyad</t>
  </si>
  <si>
    <t xml:space="preserve">İlçe (39'dan)</t>
  </si>
  <si>
    <t xml:space="preserve">Yaş</t>
  </si>
  <si>
    <t xml:space="preserve">Meslek</t>
  </si>
  <si>
    <t xml:space="preserve">Nereden / tavsiye eden</t>
  </si>
  <si>
    <t xml:space="preserve">İlk görüşen</t>
  </si>
  <si>
    <t xml:space="preserve">K1</t>
  </si>
  <si>
    <t xml:space="preserve">K2</t>
  </si>
  <si>
    <t xml:space="preserve">K3</t>
  </si>
  <si>
    <t xml:space="preserve">K4</t>
  </si>
  <si>
    <t xml:space="preserve">K5</t>
  </si>
  <si>
    <t xml:space="preserve">K6</t>
  </si>
  <si>
    <t xml:space="preserve">K7</t>
  </si>
  <si>
    <t xml:space="preserve">K8</t>
  </si>
  <si>
    <t xml:space="preserve">K9</t>
  </si>
  <si>
    <t xml:space="preserve">K10</t>
  </si>
  <si>
    <t xml:space="preserve">PUAN</t>
  </si>
  <si>
    <t xml:space="preserve">ÖNERİLEN GÖREV</t>
  </si>
  <si>
    <t xml:space="preserve">AĞIRLIK →</t>
  </si>
  <si>
    <t xml:space="preserve">← 100 olmalı</t>
  </si>
  <si>
    <t xml:space="preserve">Havuzdaki kişi</t>
  </si>
  <si>
    <t xml:space="preserve">Temsilci adayı (85+)</t>
  </si>
  <si>
    <t xml:space="preserve">Aktif görevli adayı (70-84)</t>
  </si>
  <si>
    <t xml:space="preserve">Gözlemde (50-69)</t>
  </si>
  <si>
    <t xml:space="preserve">KULLANIM: Cumartesi dernek gününde tanıştığın her ismi aynı akşam buraya gir. Puanlamayı TEK BAŞINA yapma — Oğuzhan'la birlikte yap. İki kişinin ortak kanaati, tek kişinin izleniminden daima daha isabetlidir.
İLÇE SÜTUNU ÖNEMLİ: Adayın hangi ilçede oturduğunu mutlaka yaz. 30 hedef ilçenin koordinatörleri bu havuzdan çıkacak. Bir aday Güngören'de oturuyorsa, o Güngören'in koordinatör adayıdır.</t>
  </si>
  <si>
    <t xml:space="preserve">TEMSİLCİLİK ZİYARET STANDART FORMU</t>
  </si>
  <si>
    <t xml:space="preserve">Her ziyarette bir kopyası doldurulur → Sekreterya'ya teslim → o ayın karnesine veri olur.</t>
  </si>
  <si>
    <t xml:space="preserve">A) ZİYARET BİLGİLERİ</t>
  </si>
  <si>
    <t xml:space="preserve">Temsilcilik</t>
  </si>
  <si>
    <t xml:space="preserve">Bölge (hangi hat)</t>
  </si>
  <si>
    <t xml:space="preserve">Ziyaret tarihi</t>
  </si>
  <si>
    <t xml:space="preserve">Ziyaret eden</t>
  </si>
  <si>
    <t xml:space="preserve">Katılan YK üyesi</t>
  </si>
  <si>
    <t xml:space="preserve">Görüşülen kişiler</t>
  </si>
  <si>
    <t xml:space="preserve">B) YERİNDE KONTROL LİSTESİ</t>
  </si>
  <si>
    <t xml:space="preserve">Kontrol maddesi</t>
  </si>
  <si>
    <t xml:space="preserve">Durum (Var/Kısmen/Yok)</t>
  </si>
  <si>
    <t xml:space="preserve">Yönetim Kurulu kaç kişi? Rehberdeki birimlerin kaçı dolu?</t>
  </si>
  <si>
    <t xml:space="preserve">Haftalık YK toplantısı düzenli mi? Gün ve saat sabit mi?</t>
  </si>
  <si>
    <t xml:space="preserve">Toplantı tutanağı tutuluyor mu? Son 4 tutanak görüldü mü?</t>
  </si>
  <si>
    <t xml:space="preserve">Ortaokul birimi + Çağın Sancaktarı grubu (min. 10 kişi) var mı?</t>
  </si>
  <si>
    <t xml:space="preserve">Lise birimi + Çağın Sancaktarı grubu (min. 10 kişi) var mı?</t>
  </si>
  <si>
    <t xml:space="preserve">Haftalık halka açık sohbet var mı? Ortalama kaç kişi?</t>
  </si>
  <si>
    <t xml:space="preserve">Cami merkezli program yapılıyor mu?</t>
  </si>
  <si>
    <t xml:space="preserve">«Yatsıya Kadar» programı yapılıyor mu? (karnede 10 puan!)</t>
  </si>
  <si>
    <t xml:space="preserve">Sabah namazı buluşması yapılıyor mu? (karnede 10 puan!)</t>
  </si>
  <si>
    <t xml:space="preserve">Mekân: ayrı odalar, düzayak giriş, camiye yakınlık</t>
  </si>
  <si>
    <t xml:space="preserve">Mali sistem: aidat toplanıyor mu? Gelir tasnifi yapılıyor mu?</t>
  </si>
  <si>
    <t xml:space="preserve">Sosyal medya kurumsal kimliğe uygun mu? («YediHilal» yazımı doğru mu?)</t>
  </si>
  <si>
    <t xml:space="preserve">Yed-i Hilal Meclisi kuruldu mu? Kaç kişi?</t>
  </si>
  <si>
    <t xml:space="preserve">Hanımlar Komisyonu kuruldu mu?</t>
  </si>
  <si>
    <t xml:space="preserve">Kadro yaş ortalaması? Son 6 ayda kaç yeni isim kazanıldı?</t>
  </si>
  <si>
    <t xml:space="preserve">Ekip içinde ihtilaf/kırgınlık var mı? (birebir sorulur)</t>
  </si>
  <si>
    <t xml:space="preserve">Temsilcinin kendi ifadesiyle en büyük 2 ihtiyacı nedir?</t>
  </si>
  <si>
    <t xml:space="preserve">KOMŞU HEDEF İLÇEDE tanıdıkları var mı? (yeni teşkilat için altın soru)</t>
  </si>
  <si>
    <t xml:space="preserve">Bu temsilcilikten çıkabilecek 2 yeni isim var mı? → Aday Havuzu'na yaz</t>
  </si>
  <si>
    <t xml:space="preserve">C) ZİYARET SONUCU</t>
  </si>
  <si>
    <t xml:space="preserve">Genel izlenim (1-5)</t>
  </si>
  <si>
    <t xml:space="preserve">Öne çıkan güçlü yön</t>
  </si>
  <si>
    <t xml:space="preserve">En kritik 1 sorun</t>
  </si>
  <si>
    <t xml:space="preserve">Alınan kararlar</t>
  </si>
  <si>
    <t xml:space="preserve">Komisyondan beklenen destek</t>
  </si>
  <si>
    <t xml:space="preserve">Kadro/temsilci değişikliği gerekiyor mu? (+gerekçe)</t>
  </si>
  <si>
    <t xml:space="preserve">Bir sonraki kontrol tarihi</t>
  </si>
  <si>
    <t xml:space="preserve">ZİYARET ADABI: Ziyaret teftiş değil, destek görüşmesidir. Formu masaya koyup madde madde sorma — sohbet içinde öğren, formu sonra doldur.
EN İYİ ZAMAN: CUMARTESİ SABAHI. Çağın Sancaktarı müfredatı cumartesi işleniyor (kahle vaktinden öğle namazına). O saatte gidersen ekibi, öğrencileri ve işleyişi aynı anda görürsün.</t>
  </si>
  <si>
    <t xml:space="preserve">HAFTALIK ÇALIŞMA RİTMİ VE YILLIK KAPASİTE</t>
  </si>
  <si>
    <t xml:space="preserve">Teşkilat işi boş vakitte yapılmaz. Takvime yazılmayan iş yapılmamıştır (sunum: Zaman Yönetimi → Plan, Ertelememek, Sistemli Çalışma).</t>
  </si>
  <si>
    <t xml:space="preserve">Saat</t>
  </si>
  <si>
    <t xml:space="preserve">Nerede</t>
  </si>
  <si>
    <t xml:space="preserve">Kim</t>
  </si>
  <si>
    <t xml:space="preserve">Neden burada</t>
  </si>
  <si>
    <t xml:space="preserve">Pazartesi</t>
  </si>
  <si>
    <t xml:space="preserve">21:00 – 23:00</t>
  </si>
  <si>
    <t xml:space="preserve">KOMİSYON TOPLANTISI. Gündemli, tutanaklı. İlk gündem daima: geçen haftanın kararlarının takibi.</t>
  </si>
  <si>
    <t xml:space="preserve">İl dernek merkezi</t>
  </si>
  <si>
    <t xml:space="preserve">Tüm komisyon</t>
  </si>
  <si>
    <t xml:space="preserve">Mevcut düzen korunuyor.</t>
  </si>
  <si>
    <t xml:space="preserve">Salı – Çarşamba</t>
  </si>
  <si>
    <t xml:space="preserve">Mesai dışı</t>
  </si>
  <si>
    <t xml:space="preserve">BÖLGE TURU. Her takipçi kendi bölgesindeki mevcut temsilcileri arar + 1 hedef ilçede temas kurar.</t>
  </si>
  <si>
    <t xml:space="preserve">Telefon</t>
  </si>
  <si>
    <t xml:space="preserve">4 bölge takipçisi</t>
  </si>
  <si>
    <t xml:space="preserve">Sen aramazsın — sistem arar. Delege etmezsen 39 ilçe altında ezilirsin.</t>
  </si>
  <si>
    <t xml:space="preserve">Perşembe</t>
  </si>
  <si>
    <t xml:space="preserve">14:00 – 18:00</t>
  </si>
  <si>
    <t xml:space="preserve">SAHA YARIM GÜNÜ. İşten çık: ziyaret, görüşme, telefon trafiği, aday görüşmeleri.</t>
  </si>
  <si>
    <t xml:space="preserve">Sahada</t>
  </si>
  <si>
    <t xml:space="preserve">Başkan + ziyaret ekibi</t>
  </si>
  <si>
    <t xml:space="preserve">Kendi ifadenle: yarım günü derneğe ayırıp telefon trafiğiyle çalışmak.</t>
  </si>
  <si>
    <t xml:space="preserve">18:00 – 20:00</t>
  </si>
  <si>
    <t xml:space="preserve">İkinci haftalık toplantı. Saha çıktısı buraya taşınır.</t>
  </si>
  <si>
    <t xml:space="preserve">Başkan + ilgili birim</t>
  </si>
  <si>
    <t xml:space="preserve">Haftada 2 toplantı zaten var; ikincisi sahadan dönüşe bağlandı.</t>
  </si>
  <si>
    <t xml:space="preserve">Kısa</t>
  </si>
  <si>
    <t xml:space="preserve">REİS'E HAFTALIK ÖZET: yapılan / yapılmayan / engel / karar / rakam.</t>
  </si>
  <si>
    <t xml:space="preserve">Mesaj</t>
  </si>
  <si>
    <t xml:space="preserve">Yöneticiyle ilişki: ön hazırlık ve düzenli bilgilendirme.</t>
  </si>
  <si>
    <t xml:space="preserve">CUMARTESİ</t>
  </si>
  <si>
    <t xml:space="preserve">09:00 – 13:00</t>
  </si>
  <si>
    <t xml:space="preserve">TEMSİLCİLİK ZİYARETİ (ayda 2 cumartesi). Çağın Sancaktarı ders saati.</t>
  </si>
  <si>
    <t xml:space="preserve">Temsilciliklerde</t>
  </si>
  <si>
    <t xml:space="preserve">Başkan + Ziyaret Birimi + 1 YK üyesi</t>
  </si>
  <si>
    <t xml:space="preserve">Ziyaretin en verimli saati. Boş binaya gitmek ziyaret sayılmaz.</t>
  </si>
  <si>
    <t xml:space="preserve">DERNEK GÜNÜ. Gelen-giden, aday görüşmeleri, gönüllü formu adayları, evrak-arşiv.</t>
  </si>
  <si>
    <t xml:space="preserve">Başkan + Oğuzhan</t>
  </si>
  <si>
    <t xml:space="preserve">Kendi ifadenle: cumartesiyi derneğe bağışlayıp sabahtan akşama orada olmak.</t>
  </si>
  <si>
    <t xml:space="preserve">Akşam</t>
  </si>
  <si>
    <t xml:space="preserve">O gün tanıştığın isimleri AYNI AKŞAM Aday Havuzu'na gir.</t>
  </si>
  <si>
    <t xml:space="preserve">Ev</t>
  </si>
  <si>
    <t xml:space="preserve">İzlenim 24 saatte solar. Aynı gün yazılmayan isim kaybolur.</t>
  </si>
  <si>
    <t xml:space="preserve">YILLIK KAPASİTE HESABI</t>
  </si>
  <si>
    <t xml:space="preserve">Kalem</t>
  </si>
  <si>
    <t xml:space="preserve">Birim</t>
  </si>
  <si>
    <t xml:space="preserve">Haftalık dernek saati</t>
  </si>
  <si>
    <t xml:space="preserve">saat/hafta</t>
  </si>
  <si>
    <t xml:space="preserve">Pazartesi 2 + Perşembe 6 + Cumartesi 8 ≈ 15-16. Mavi hücre — kendine göre değiştir.</t>
  </si>
  <si>
    <t xml:space="preserve">Yılda çalışılan hafta</t>
  </si>
  <si>
    <t xml:space="preserve">hafta</t>
  </si>
  <si>
    <t xml:space="preserve">8 hafta izin/kamp/tatil düşülmüş</t>
  </si>
  <si>
    <t xml:space="preserve">YILLIK TOPLAM KAPASİTE</t>
  </si>
  <si>
    <t xml:space="preserve">saat/yıl</t>
  </si>
  <si>
    <t xml:space="preserve">Senin gerçek bütçen. Her yeni iş buradan düşer.</t>
  </si>
  <si>
    <t xml:space="preserve">Bir temsilcilik ziyareti (yol dahil)</t>
  </si>
  <si>
    <t xml:space="preserve">saat</t>
  </si>
  <si>
    <t xml:space="preserve">Ortalama</t>
  </si>
  <si>
    <t xml:space="preserve">Ayda kaç ziyaret?</t>
  </si>
  <si>
    <t xml:space="preserve">ziyaret/ay</t>
  </si>
  <si>
    <t xml:space="preserve">2 cumartesi × 1-2 ziyaret</t>
  </si>
  <si>
    <t xml:space="preserve">YILLIK ZİYARET KAPASİTESİ</t>
  </si>
  <si>
    <t xml:space="preserve">ziyaret/yıl</t>
  </si>
  <si>
    <t xml:space="preserve">11 ay. 9 temsilcilik → her birine 3-4 ziyaret düşer.</t>
  </si>
  <si>
    <t xml:space="preserve">Bir aday görüşmesi</t>
  </si>
  <si>
    <t xml:space="preserve">Cumartesi öğleden sonra</t>
  </si>
  <si>
    <t xml:space="preserve">Yılda kaç aday görüşmesi?</t>
  </si>
  <si>
    <t xml:space="preserve">görüşme/yıl</t>
  </si>
  <si>
    <t xml:space="preserve">40 cumartesi × 1,5 görüşme</t>
  </si>
  <si>
    <t xml:space="preserve">KAPASİTE GERÇEĞİ: Haftada ~15 saatle 39 ilçelik bir şehri tek başına yönetemezsin. Bu tablo, Reis'e 'hayır' demeden sınırını göstermenin en nazik yoludur: «Reisim, elimdeki bütçe bu. Bölge takipçilerim olmadan bu bütçe 9 ilçeye ancak yeter.» Sunumun kendi ifadesiyle: İş–Okul–Vakıf–Aile Dengesi.</t>
  </si>
  <si>
    <t xml:space="preserve">YILLIK TEŞKİLAT TAKVİMİ — TEMMUZ 2026 / HAZİRAN 2027</t>
  </si>
  <si>
    <t xml:space="preserve">Ay</t>
  </si>
  <si>
    <t xml:space="preserve">Rutin (her ay)</t>
  </si>
  <si>
    <t xml:space="preserve">Büyük program</t>
  </si>
  <si>
    <t xml:space="preserve">Bu ayın teşkilat odağı</t>
  </si>
  <si>
    <t xml:space="preserve">Hatırlatma</t>
  </si>
  <si>
    <t xml:space="preserve">Katılım hedefi</t>
  </si>
  <si>
    <t xml:space="preserve">Temmuz 26</t>
  </si>
  <si>
    <t xml:space="preserve">Temsilciler toplantısı · Faaliyet raporu · Karne</t>
  </si>
  <si>
    <t xml:space="preserve">ÇADIR KAMPI</t>
  </si>
  <si>
    <t xml:space="preserve">Devir + 4 bölge yapısının ilanı + takipçi ataması</t>
  </si>
  <si>
    <t xml:space="preserve">Kamp öncesi tüm temsilcileri ara, taahhüt al</t>
  </si>
  <si>
    <t xml:space="preserve">Ağustos 26</t>
  </si>
  <si>
    <t xml:space="preserve">Kritik temsilcilik ziyaretleri (Pendik, Üsküdar, Kağıthane, Ümraniye)</t>
  </si>
  <si>
    <t xml:space="preserve">İlk karne — deneme ayı olarak duyur</t>
  </si>
  <si>
    <t xml:space="preserve">Eylül 26</t>
  </si>
  <si>
    <t xml:space="preserve">Okul açılışı</t>
  </si>
  <si>
    <t xml:space="preserve">Okul birimleri + Öncelik 1 ilçelerde koordinatör arayışı başlar</t>
  </si>
  <si>
    <t xml:space="preserve">Çağın Sancaktarı EKİM'de başlıyor — gruplar eylülde hazır olmalı</t>
  </si>
  <si>
    <t xml:space="preserve">Ekim 26</t>
  </si>
  <si>
    <t xml:space="preserve">İL TEŞKİLAT KAMPI</t>
  </si>
  <si>
    <t xml:space="preserve">Dönem değerlendirme + Kasım-Aralık planlaması</t>
  </si>
  <si>
    <t xml:space="preserve">Çağın Sancaktarı müfredatı başladı — takibe al</t>
  </si>
  <si>
    <t xml:space="preserve">Kasım 26</t>
  </si>
  <si>
    <t xml:space="preserve">Salon programı</t>
  </si>
  <si>
    <t xml:space="preserve">Yeni teşkilat hattı: ilk 2-3 hedef ilçede tanışma toplantıları</t>
  </si>
  <si>
    <t xml:space="preserve">Aday havuzu 20 kişiyi geçmeli</t>
  </si>
  <si>
    <t xml:space="preserve">Aralık 26</t>
  </si>
  <si>
    <t xml:space="preserve">Yıl sonu değerlendirme + karne ödülleri + kapsama raporu</t>
  </si>
  <si>
    <t xml:space="preserve">Reis'e 6 aylık dönem raporu</t>
  </si>
  <si>
    <t xml:space="preserve">Ocak 27</t>
  </si>
  <si>
    <t xml:space="preserve">KIŞ KAMPI</t>
  </si>
  <si>
    <t xml:space="preserve">Dönemlik planlama kampı</t>
  </si>
  <si>
    <t xml:space="preserve">Yarıyıl tatili — gençlik programları yoğunlaşır</t>
  </si>
  <si>
    <t xml:space="preserve">Şubat 27</t>
  </si>
  <si>
    <t xml:space="preserve">Yeni teşkilat hattı: kurucu heyet oluşturma (Aşama 3)</t>
  </si>
  <si>
    <t xml:space="preserve">Çağın Sancaktarı devam ediyor</t>
  </si>
  <si>
    <t xml:space="preserve">Mart 27</t>
  </si>
  <si>
    <t xml:space="preserve">Mekân + mali taahhüt aşaması (Aşama 4)</t>
  </si>
  <si>
    <t xml:space="preserve">Ramazan yaklaşıyor — itikâf kampı planı</t>
  </si>
  <si>
    <t xml:space="preserve">Nisan 27</t>
  </si>
  <si>
    <t xml:space="preserve">RAMAZAN / İtikâf</t>
  </si>
  <si>
    <t xml:space="preserve">Ramazan programları — yeni isim kazanımının en verimli ayı</t>
  </si>
  <si>
    <t xml:space="preserve">Ramazan'da tanışılan isimleri havuza yaz</t>
  </si>
  <si>
    <t xml:space="preserve">Mayıs 27</t>
  </si>
  <si>
    <t xml:space="preserve">Çağın Sancaktarı kapanışı + ilk yeni temsilcilik açılış dosyaları</t>
  </si>
  <si>
    <t xml:space="preserve">Sınav dönemi — okul ekipleri yavaşlar, normal karşıla</t>
  </si>
  <si>
    <t xml:space="preserve">Haziran 27</t>
  </si>
  <si>
    <t xml:space="preserve">Yaz okulu</t>
  </si>
  <si>
    <t xml:space="preserve">Yıl sonu değerlendirme + 2. yıl (genişleme) planı</t>
  </si>
  <si>
    <t xml:space="preserve">Açılış dosyaları GM'ye sunulur</t>
  </si>
  <si>
    <t xml:space="preserve">PROGRAM ÖNCESİ RUTİN (her büyük program için aynı): T-4 hafta: temsilcilere duyuru + hedef kota · T-3: bölge takipçileri taahhüt toplar · T-2: kayıt listesi Sekme 15'e girer · T-1: eksik kalanlar ARANIR · Program günü: yoklama · T+1: kimler öne çıktı? → Aday Havuzu'na yaz.</t>
  </si>
  <si>
    <t xml:space="preserve">PROGRAM VE KAMP KATILIM TAKİBİ</t>
  </si>
  <si>
    <t xml:space="preserve">Hedefler MASADA belirlenmez — bölge takipçisi temsilciden TAAHHÜT alır, o rakam hedef olur.</t>
  </si>
  <si>
    <t xml:space="preserve">Temmuz Çadır Kampı
HEDEF</t>
  </si>
  <si>
    <t xml:space="preserve">Temmuz Çadır Kampı
KATILAN</t>
  </si>
  <si>
    <t xml:space="preserve">İl Teşkilat Kampı
HEDEF</t>
  </si>
  <si>
    <t xml:space="preserve">İl Teşkilat Kampı
KATILAN</t>
  </si>
  <si>
    <t xml:space="preserve">Salon Programı
HEDEF</t>
  </si>
  <si>
    <t xml:space="preserve">Salon Programı
KATILAN</t>
  </si>
  <si>
    <t xml:space="preserve">Kış Kampı
HEDEF</t>
  </si>
  <si>
    <t xml:space="preserve">Kış Kampı
KATILAN</t>
  </si>
  <si>
    <t xml:space="preserve">Toplam hedef</t>
  </si>
  <si>
    <t xml:space="preserve">Toplam katılan</t>
  </si>
  <si>
    <t xml:space="preserve">Gerçekleşme %</t>
  </si>
  <si>
    <t xml:space="preserve">İL YÖNETİMİ + KOMİSYON</t>
  </si>
  <si>
    <t xml:space="preserve">TOPLAM</t>
  </si>
  <si>
    <t xml:space="preserve">300 KİŞİ MESELESİ: 9 temsilcilik için ilçe başına ~33 kişi demek — üstelik 5'i kadro erimesi yaşıyor. Yapman gereken: her temsilciyi ara, «kaç kişi getirebilirsin?» diye SOR, rakamı o söylesin. Toplam 300'ün altındaysa Reis'e gerçek rakamı gerekçesiyle sun. Tutmayacağını bildiğin bir sayıya 'tamam' demek, teşkilatta güven kaybının en hızlı yoludur.</t>
  </si>
  <si>
    <t xml:space="preserve">STK VE KURUMSAL İLİŞKİLER — YENİ İLÇELERİN KAPISI</t>
  </si>
  <si>
    <t xml:space="preserve">Sunumdaki duruş: hiçbir vakfın/derneğin ALTERNATİFİ değiliz, bu bir hayır yarışıdır. Bizim alanımız gençlik; uzmanlaşmış STK'ların rakibi olmayız, iş birliği yaparız.
STRATEJİ: Yeni bir ilçede sıfırdan insan aramak yerine, o ilçedeki KURUMDAN gir. Bir imam sana 5 genç gösterir; bir İHL öğretmeni 20 öğrenci gösterir; bir bilgi evi sorumlusu sana mekân verir. 30 hedef ilçenin kapısı bu tablodur.</t>
  </si>
  <si>
    <t xml:space="preserve">Kurum</t>
  </si>
  <si>
    <t xml:space="preserve">Tür</t>
  </si>
  <si>
    <t xml:space="preserve">İlçe / kapsam</t>
  </si>
  <si>
    <t xml:space="preserve">Muhatap</t>
  </si>
  <si>
    <t xml:space="preserve">İlişki durumu</t>
  </si>
  <si>
    <t xml:space="preserve">İş birliği amacı</t>
  </si>
  <si>
    <t xml:space="preserve">Eğitim-Bir-Sen</t>
  </si>
  <si>
    <t xml:space="preserve">Sendika</t>
  </si>
  <si>
    <t xml:space="preserve">İstanbul geneli</t>
  </si>
  <si>
    <t xml:space="preserve">Öğretmen ağı — İHL öğretmenlerine ulaşmanın en kısa yolu</t>
  </si>
  <si>
    <t xml:space="preserve">İl temsilciliğinden randevu al</t>
  </si>
  <si>
    <t xml:space="preserve">İlim Yayma Cemiyeti</t>
  </si>
  <si>
    <t xml:space="preserve">Dernek / yurt</t>
  </si>
  <si>
    <t xml:space="preserve">Yurtlar üzerinden üniversite gençliğine erişim</t>
  </si>
  <si>
    <t xml:space="preserve">Yurt müdürleriyle tanışma</t>
  </si>
  <si>
    <t xml:space="preserve">İHH</t>
  </si>
  <si>
    <t xml:space="preserve">Dernek</t>
  </si>
  <si>
    <t xml:space="preserve">Ortak program, gençlik seferberliği</t>
  </si>
  <si>
    <t xml:space="preserve">İlçe temsilcilikleri düzeyinde temas</t>
  </si>
  <si>
    <t xml:space="preserve">Nusret Onur</t>
  </si>
  <si>
    <t xml:space="preserve">UDEF</t>
  </si>
  <si>
    <t xml:space="preserve">Federasyon</t>
  </si>
  <si>
    <t xml:space="preserve">Uluslararası öğrenciler — üniversite çalışması</t>
  </si>
  <si>
    <t xml:space="preserve">Tanışma görüşmesi</t>
  </si>
  <si>
    <t xml:space="preserve">MÜSİAD</t>
  </si>
  <si>
    <t xml:space="preserve">İş dünyası</t>
  </si>
  <si>
    <t xml:space="preserve">Kaynak geliştirme, mekân desteği, bağışçı ağı</t>
  </si>
  <si>
    <t xml:space="preserve">İlçe MÜSİAD temsilcilikleri</t>
  </si>
  <si>
    <t xml:space="preserve">İlçe Müftülükleri / imamlar</t>
  </si>
  <si>
    <t xml:space="preserve">Kamu-din</t>
  </si>
  <si>
    <t xml:space="preserve">39 ilçenin tamamı</t>
  </si>
  <si>
    <t xml:space="preserve">Kısmi</t>
  </si>
  <si>
    <t xml:space="preserve">Cami merkezli çalışmanın kapısı. YENİ İLÇEDE İLK TEMAS DAİMA İMAMLA KURULUR.</t>
  </si>
  <si>
    <t xml:space="preserve">Her hedef ilçede müftülük ziyareti</t>
  </si>
  <si>
    <t xml:space="preserve">İmam-Hatip Okulları</t>
  </si>
  <si>
    <t xml:space="preserve">Okul</t>
  </si>
  <si>
    <t xml:space="preserve">Öncelikli hedef kitle (Rehber: ilk basamak İHL)</t>
  </si>
  <si>
    <t xml:space="preserve">Hedef ilçelerde İHL envanteri çıkar</t>
  </si>
  <si>
    <t xml:space="preserve">Bilgi Evleri / Gençlik Merkezleri</t>
  </si>
  <si>
    <t xml:space="preserve">Belediye</t>
  </si>
  <si>
    <t xml:space="preserve">Hazır genç ve mekân — sıfır maliyetli çalışma alanı</t>
  </si>
  <si>
    <t xml:space="preserve">Belediye gençlik müdürlükleriyle temas</t>
  </si>
  <si>
    <t xml:space="preserve">Oğuzhan</t>
  </si>
  <si>
    <t xml:space="preserve">Kur'an Kursları</t>
  </si>
  <si>
    <t xml:space="preserve">Din eğitimi</t>
  </si>
  <si>
    <t xml:space="preserve">Hadis halkaları için bakir alan (Rehber s.34)</t>
  </si>
  <si>
    <t xml:space="preserve">Kurs envanteri çıkar</t>
  </si>
  <si>
    <t xml:space="preserve">Öğrenci Yurtları</t>
  </si>
  <si>
    <t xml:space="preserve">Yurt</t>
  </si>
  <si>
    <t xml:space="preserve">Üniversite çalışmasının en verimli zemini</t>
  </si>
  <si>
    <t xml:space="preserve">Yurt envanteri</t>
  </si>
  <si>
    <t xml:space="preserve">TEMSİLCİLİK AYLIK FAALİYET RAPORU (temsilcilikler doldurur)</t>
  </si>
  <si>
    <t xml:space="preserve">Bu form Karne dosyasındaki 12 kriterle uyumludur — doğru dolduran temsilcilik, karnede hak ettiği puanı alır.</t>
  </si>
  <si>
    <t xml:space="preserve">Rapor ayı</t>
  </si>
  <si>
    <t xml:space="preserve">Raporu dolduran</t>
  </si>
  <si>
    <t xml:space="preserve">Tarih</t>
  </si>
  <si>
    <t xml:space="preserve">A) KARNEYE GİDEN 12 KALEM (bunlar puanlanır)</t>
  </si>
  <si>
    <t xml:space="preserve">Soru</t>
  </si>
  <si>
    <t xml:space="preserve">Cevap</t>
  </si>
  <si>
    <t xml:space="preserve">Karne puanı</t>
  </si>
  <si>
    <t xml:space="preserve">Açıklama / kanıt</t>
  </si>
  <si>
    <t xml:space="preserve">Yönetim Kurulu kaç kişi? (aktif olanlar)</t>
  </si>
  <si>
    <t xml:space="preserve">max 20</t>
  </si>
  <si>
    <t xml:space="preserve">Bu ay kaç YK toplantısı yapıldı?</t>
  </si>
  <si>
    <t xml:space="preserve">max 10</t>
  </si>
  <si>
    <t xml:space="preserve">Kendinize ait temsilcilik merkezi var mı?</t>
  </si>
  <si>
    <t xml:space="preserve">max 5</t>
  </si>
  <si>
    <t xml:space="preserve">Yed-i Hilal Meclisi kaç kişi?</t>
  </si>
  <si>
    <t xml:space="preserve">Bu ay kaç YENİ gönüllü katıldı?</t>
  </si>
  <si>
    <t xml:space="preserve">«Yatsıya Kadar» programı yapıldı mı?</t>
  </si>
  <si>
    <t xml:space="preserve">Sabah Namazı Buluşması yapıldı mı?</t>
  </si>
  <si>
    <t xml:space="preserve">Kaç ORTAOKULA ziyaret yapıldı?</t>
  </si>
  <si>
    <t xml:space="preserve">Kaç LİSEYE ziyaret yapıldı?</t>
  </si>
  <si>
    <t xml:space="preserve">Kaç bağışçı ziyareti yapıldı?</t>
  </si>
  <si>
    <t xml:space="preserve">Kaç kurumsal ziyaret yapıldı?</t>
  </si>
  <si>
    <t xml:space="preserve">İlçeye özgün bir çalışma yaptınız mı? (nerede, ne zaman, kaç kişi)</t>
  </si>
  <si>
    <t xml:space="preserve">B) EK BİLGİLER (puanlanmaz ama takip edilir)</t>
  </si>
  <si>
    <t xml:space="preserve">Sayı / Cevap</t>
  </si>
  <si>
    <t xml:space="preserve">Haftalık halka açık sohbet yapıldı mı? Ort. katılım?</t>
  </si>
  <si>
    <t xml:space="preserve">Çağın Sancaktarı grubu (ortaokul) kaç kişi?</t>
  </si>
  <si>
    <t xml:space="preserve">Çağın Sancaktarı grubu (lise) kaç kişi?</t>
  </si>
  <si>
    <t xml:space="preserve">Toplam aktif genç sayısı</t>
  </si>
  <si>
    <t xml:space="preserve">Aidat ödeyen kişi sayısı</t>
  </si>
  <si>
    <t xml:space="preserve">Bu ayın en iyi işi</t>
  </si>
  <si>
    <t xml:space="preserve">Bu ayın en büyük sorunu</t>
  </si>
  <si>
    <t xml:space="preserve">İl yönetiminden beklentimiz</t>
  </si>
  <si>
    <t xml:space="preserve">Öne çıkan / görev verilebilecek 2 yeni isim</t>
  </si>
  <si>
    <t xml:space="preserve">KOMŞU HEDEF İLÇEDE tanıdığınız var mı?</t>
  </si>
  <si>
    <t xml:space="preserve">KOMİSYON TOPLANTI GÜNDEMİ VE TUTANAK ŞABLONU</t>
  </si>
  <si>
    <t xml:space="preserve">Toplantı tarihi</t>
  </si>
  <si>
    <t xml:space="preserve">Başlama / bitiş saati</t>
  </si>
  <si>
    <t xml:space="preserve">Yer</t>
  </si>
  <si>
    <t xml:space="preserve">Katılan</t>
  </si>
  <si>
    <t xml:space="preserve">İzinli</t>
  </si>
  <si>
    <t xml:space="preserve">Katılmayan</t>
  </si>
  <si>
    <t xml:space="preserve">Tutanağı tutan</t>
  </si>
  <si>
    <t xml:space="preserve">SABİT GÜNDEM AKIŞI (Rehberin toplantı ilkelerine uygun)</t>
  </si>
  <si>
    <t xml:space="preserve">Gündem maddesi</t>
  </si>
  <si>
    <t xml:space="preserve">Açıklama</t>
  </si>
  <si>
    <t xml:space="preserve">Açılış: besmele, hamdele, salvele</t>
  </si>
  <si>
    <t xml:space="preserve">Rehber: toplantılar böyle açılır</t>
  </si>
  <si>
    <t xml:space="preserve">2 dk</t>
  </si>
  <si>
    <t xml:space="preserve">Kısa ders</t>
  </si>
  <si>
    <t xml:space="preserve">Rehber: her toplantıda küçük bir ders yapılır</t>
  </si>
  <si>
    <t xml:space="preserve">10 dk</t>
  </si>
  <si>
    <t xml:space="preserve">Dönüşümlü</t>
  </si>
  <si>
    <t xml:space="preserve">Geçen toplantı kararlarının takibi</t>
  </si>
  <si>
    <t xml:space="preserve">İLK gündem her zaman önceki kararların takibidir</t>
  </si>
  <si>
    <t xml:space="preserve">15 dk</t>
  </si>
  <si>
    <t xml:space="preserve">İlave gündem teklifleri</t>
  </si>
  <si>
    <t xml:space="preserve">Üyelerden alınır</t>
  </si>
  <si>
    <t xml:space="preserve">5 dk</t>
  </si>
  <si>
    <t xml:space="preserve">BÖLGE TURU (4 hat)</t>
  </si>
  <si>
    <t xml:space="preserve">Her takipçi bölgesini 1 dakikada sunar: mevcut temsilcilikler + hedef ilçelerdeki temaslar</t>
  </si>
  <si>
    <t xml:space="preserve">Aday havuzu / yeni isimler</t>
  </si>
  <si>
    <t xml:space="preserve">Bu hafta kim tanındı, kim puanlandı, kime görev verilecek</t>
  </si>
  <si>
    <t xml:space="preserve">Haftanın ana gündemi</t>
  </si>
  <si>
    <t xml:space="preserve">Kamp / karne / ziyaret / il kampı</t>
  </si>
  <si>
    <t xml:space="preserve">20 dk</t>
  </si>
  <si>
    <t xml:space="preserve">Karar ve görev dağılımı</t>
  </si>
  <si>
    <t xml:space="preserve">Her karar: NE + KİM + NE ZAMAN. Üçü yoksa karar değildir.</t>
  </si>
  <si>
    <t xml:space="preserve">Kapanış: Asr Suresi</t>
  </si>
  <si>
    <t xml:space="preserve">Rehber: toplantılar Asr Suresi ile bitirilir</t>
  </si>
  <si>
    <t xml:space="preserve">3 dk</t>
  </si>
  <si>
    <t xml:space="preserve">KARAR TABLOSU</t>
  </si>
  <si>
    <t xml:space="preserve">Alınan karar</t>
  </si>
  <si>
    <t xml:space="preserve">TOPLANTI DİSİPLİNİ (Rehber): Gündem önceden duyurulur · Katılım eksik olsa da saate uyulur · Kararlar oy çokluğuyla alınır, eşitlikte başkanın tarafı karar sayılır · KARAR İÇİN ÜYELERİN EN AZ YARISI HAZIR BULUNMALIDIR, aksi hâlde kararlar hükümsüzdür · Kulis yapılamaz · Diğer STK'lar hakkında olumsuz tartışma yapılamaz.</t>
  </si>
  <si>
    <t xml:space="preserve">BOŞ ŞABLON — KENDİ TABLOLARIN İÇİN</t>
  </si>
  <si>
    <t xml:space="preserve">Başlıkları değiştir, satırları doldur. Format hazır.</t>
  </si>
  <si>
    <t xml:space="preserve">TABLO 1 — Başlık buraya</t>
  </si>
  <si>
    <t xml:space="preserve">Sütun 1</t>
  </si>
  <si>
    <t xml:space="preserve">Sütun 2</t>
  </si>
  <si>
    <t xml:space="preserve">Sütun 3</t>
  </si>
  <si>
    <t xml:space="preserve">Sütun 4</t>
  </si>
  <si>
    <t xml:space="preserve">Sütun 5</t>
  </si>
  <si>
    <t xml:space="preserve">Sütun 6</t>
  </si>
  <si>
    <t xml:space="preserve">TABLO 2 — Başlık buraya</t>
  </si>
  <si>
    <t xml:space="preserve">Konu</t>
  </si>
</sst>
</file>

<file path=xl/styles.xml><?xml version="1.0" encoding="utf-8"?>
<styleSheet xmlns="http://schemas.openxmlformats.org/spreadsheetml/2006/main">
  <numFmts count="4">
    <numFmt numFmtId="164" formatCode="General"/>
    <numFmt numFmtId="165" formatCode="General"/>
    <numFmt numFmtId="166" formatCode="0%"/>
    <numFmt numFmtId="167" formatCode="0.0"/>
  </numFmts>
  <fonts count="26">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BF8F00"/>
      <name val="Arial"/>
      <family val="0"/>
      <charset val="1"/>
    </font>
    <font>
      <b val="true"/>
      <sz val="14"/>
      <color rgb="FF7B1010"/>
      <name val="Arial"/>
      <family val="0"/>
      <charset val="1"/>
    </font>
    <font>
      <b val="true"/>
      <sz val="10"/>
      <name val="Arial"/>
      <family val="0"/>
      <charset val="1"/>
    </font>
    <font>
      <b val="true"/>
      <i val="true"/>
      <sz val="11"/>
      <color rgb="FF7B1010"/>
      <name val="Arial"/>
      <family val="0"/>
      <charset val="1"/>
    </font>
    <font>
      <sz val="9"/>
      <name val="Arial"/>
      <family val="0"/>
      <charset val="1"/>
    </font>
    <font>
      <i val="true"/>
      <sz val="9"/>
      <color rgb="FF666666"/>
      <name val="Arial"/>
      <family val="0"/>
      <charset val="1"/>
    </font>
    <font>
      <sz val="10"/>
      <name val="Arial"/>
      <family val="0"/>
      <charset val="1"/>
    </font>
    <font>
      <b val="true"/>
      <sz val="11"/>
      <color rgb="FF7B1010"/>
      <name val="Arial"/>
      <family val="0"/>
      <charset val="1"/>
    </font>
    <font>
      <sz val="10"/>
      <color rgb="FF7B1010"/>
      <name val="Arial"/>
      <family val="0"/>
      <charset val="1"/>
    </font>
    <font>
      <b val="true"/>
      <sz val="10"/>
      <color rgb="FFFFFFFF"/>
      <name val="Arial"/>
      <family val="0"/>
      <charset val="1"/>
    </font>
    <font>
      <sz val="10"/>
      <color rgb="FF0000FF"/>
      <name val="Arial"/>
      <family val="0"/>
      <charset val="1"/>
    </font>
    <font>
      <b val="true"/>
      <sz val="12"/>
      <color rgb="FF7B1010"/>
      <name val="Arial"/>
      <family val="0"/>
      <charset val="1"/>
    </font>
    <font>
      <b val="true"/>
      <sz val="12"/>
      <name val="Arial"/>
      <family val="0"/>
      <charset val="1"/>
    </font>
    <font>
      <b val="true"/>
      <sz val="12"/>
      <color rgb="FFFFFFFF"/>
      <name val="Arial"/>
      <family val="0"/>
      <charset val="1"/>
    </font>
    <font>
      <b val="true"/>
      <sz val="11"/>
      <color rgb="FFFFFFFF"/>
      <name val="Arial"/>
      <family val="0"/>
      <charset val="1"/>
    </font>
    <font>
      <b val="true"/>
      <sz val="9"/>
      <name val="Arial"/>
      <family val="0"/>
      <charset val="1"/>
    </font>
    <font>
      <sz val="9"/>
      <color rgb="FF444444"/>
      <name val="Arial"/>
      <family val="0"/>
      <charset val="1"/>
    </font>
    <font>
      <b val="true"/>
      <sz val="9"/>
      <color rgb="FFFFFFFF"/>
      <name val="Arial"/>
      <family val="0"/>
      <charset val="1"/>
    </font>
    <font>
      <b val="true"/>
      <sz val="10"/>
      <color rgb="FF7B1010"/>
      <name val="Arial"/>
      <family val="0"/>
      <charset val="1"/>
    </font>
    <font>
      <sz val="8"/>
      <name val="Arial"/>
      <family val="0"/>
      <charset val="1"/>
    </font>
    <font>
      <b val="true"/>
      <sz val="16"/>
      <color rgb="FF7B1010"/>
      <name val="Arial"/>
      <family val="0"/>
      <charset val="1"/>
    </font>
  </fonts>
  <fills count="23">
    <fill>
      <patternFill patternType="none"/>
    </fill>
    <fill>
      <patternFill patternType="gray125"/>
    </fill>
    <fill>
      <patternFill patternType="solid">
        <fgColor rgb="FF7B1010"/>
        <bgColor rgb="FF800000"/>
      </patternFill>
    </fill>
    <fill>
      <patternFill patternType="solid">
        <fgColor rgb="FF1A1A1A"/>
        <bgColor rgb="FF000000"/>
      </patternFill>
    </fill>
    <fill>
      <patternFill patternType="solid">
        <fgColor rgb="FFF5C242"/>
        <bgColor rgb="FFFFE599"/>
      </patternFill>
    </fill>
    <fill>
      <patternFill patternType="solid">
        <fgColor rgb="FFF4CCCC"/>
        <bgColor rgb="FFFBE0C0"/>
      </patternFill>
    </fill>
    <fill>
      <patternFill patternType="solid">
        <fgColor rgb="FFFFFF00"/>
        <bgColor rgb="FFF5C242"/>
      </patternFill>
    </fill>
    <fill>
      <patternFill patternType="solid">
        <fgColor rgb="FFFFE599"/>
        <bgColor rgb="FFFBE0C0"/>
      </patternFill>
    </fill>
    <fill>
      <patternFill patternType="solid">
        <fgColor rgb="FFBDD7EE"/>
        <bgColor rgb="FFC6E0B4"/>
      </patternFill>
    </fill>
    <fill>
      <patternFill patternType="solid">
        <fgColor rgb="FFE2EFDA"/>
        <bgColor rgb="FFEFEFEF"/>
      </patternFill>
    </fill>
    <fill>
      <patternFill patternType="solid">
        <fgColor rgb="FFC6E0B4"/>
        <bgColor rgb="FFBDD7EE"/>
      </patternFill>
    </fill>
    <fill>
      <patternFill patternType="solid">
        <fgColor rgb="FFF7E3E3"/>
        <bgColor rgb="FFEFEFEF"/>
      </patternFill>
    </fill>
    <fill>
      <patternFill patternType="solid">
        <fgColor rgb="FF375623"/>
        <bgColor rgb="FF444444"/>
      </patternFill>
    </fill>
    <fill>
      <patternFill patternType="solid">
        <fgColor rgb="FFDDEBF7"/>
        <bgColor rgb="FFE2EFDA"/>
      </patternFill>
    </fill>
    <fill>
      <patternFill patternType="solid">
        <fgColor rgb="FFEFEFEF"/>
        <bgColor rgb="FFE2EFDA"/>
      </patternFill>
    </fill>
    <fill>
      <patternFill patternType="solid">
        <fgColor rgb="FFFFF2CC"/>
        <bgColor rgb="FFF7E3E3"/>
      </patternFill>
    </fill>
    <fill>
      <patternFill patternType="solid">
        <fgColor rgb="FFF4B8B8"/>
        <bgColor rgb="FFF4CCCC"/>
      </patternFill>
    </fill>
    <fill>
      <patternFill patternType="solid">
        <fgColor rgb="FFA61C00"/>
        <bgColor rgb="FF7B1010"/>
      </patternFill>
    </fill>
    <fill>
      <patternFill patternType="solid">
        <fgColor rgb="FF2E75B6"/>
        <bgColor rgb="FF0066CC"/>
      </patternFill>
    </fill>
    <fill>
      <patternFill patternType="solid">
        <fgColor rgb="FF1F4E79"/>
        <bgColor rgb="FF003366"/>
      </patternFill>
    </fill>
    <fill>
      <patternFill patternType="solid">
        <fgColor rgb="FFFFFFFF"/>
        <bgColor rgb="FFEFEFEF"/>
      </patternFill>
    </fill>
    <fill>
      <patternFill patternType="solid">
        <fgColor rgb="FFBF8F00"/>
        <bgColor rgb="FF808000"/>
      </patternFill>
    </fill>
    <fill>
      <patternFill patternType="solid">
        <fgColor rgb="FFFBE0C0"/>
        <bgColor rgb="FFF7E3E3"/>
      </patternFill>
    </fill>
  </fills>
  <borders count="12">
    <border diagonalUp="false" diagonalDown="false">
      <left/>
      <right/>
      <top/>
      <bottom/>
      <diagonal/>
    </border>
    <border diagonalUp="false" diagonalDown="false">
      <left style="medium">
        <color rgb="FFBF8F00"/>
      </left>
      <right style="medium">
        <color rgb="FFBF8F00"/>
      </right>
      <top style="medium">
        <color rgb="FFBF8F00"/>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ck"/>
      <right style="thick"/>
      <top style="thick"/>
      <bottom/>
      <diagonal/>
    </border>
    <border diagonalUp="false" diagonalDown="false">
      <left style="thick"/>
      <right style="thick"/>
      <top/>
      <bottom/>
      <diagonal/>
    </border>
    <border diagonalUp="false" diagonalDown="false">
      <left style="thick"/>
      <right style="thin">
        <color rgb="FFBFBFBF"/>
      </right>
      <top style="thin">
        <color rgb="FFBFBFBF"/>
      </top>
      <bottom style="thin">
        <color rgb="FFBFBFBF"/>
      </bottom>
      <diagonal/>
    </border>
    <border diagonalUp="false" diagonalDown="false">
      <left style="thin">
        <color rgb="FFBFBFBF"/>
      </left>
      <right style="thick"/>
      <top style="thin">
        <color rgb="FFBFBFBF"/>
      </top>
      <bottom style="thin">
        <color rgb="FFBFBFBF"/>
      </bottom>
      <diagonal/>
    </border>
    <border diagonalUp="false" diagonalDown="false">
      <left style="thick"/>
      <right style="thin">
        <color rgb="FFBFBFBF"/>
      </right>
      <top style="thin">
        <color rgb="FFBFBFBF"/>
      </top>
      <bottom style="thick"/>
      <diagonal/>
    </border>
    <border diagonalUp="false" diagonalDown="false">
      <left style="thin">
        <color rgb="FFBFBFBF"/>
      </left>
      <right style="thin">
        <color rgb="FFBFBFBF"/>
      </right>
      <top style="thin">
        <color rgb="FFBFBFBF"/>
      </top>
      <bottom style="thick"/>
      <diagonal/>
    </border>
    <border diagonalUp="false" diagonalDown="false">
      <left style="thin">
        <color rgb="FFBFBFBF"/>
      </left>
      <right style="thick"/>
      <top style="thin">
        <color rgb="FFBFBFBF"/>
      </top>
      <bottom style="thick"/>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4" borderId="2" xfId="0" applyFont="true" applyBorder="true" applyAlignment="true" applyProtection="false">
      <alignment horizontal="general" vertical="top" textRotation="0" wrapText="true" indent="0" shrinkToFit="false"/>
      <protection locked="true" hidden="false"/>
    </xf>
    <xf numFmtId="164" fontId="14" fillId="2" borderId="3" xfId="0" applyFont="true" applyBorder="true" applyAlignment="true" applyProtection="false">
      <alignment horizontal="center" vertical="center" textRotation="0" wrapText="true" indent="0" shrinkToFit="false"/>
      <protection locked="true" hidden="false"/>
    </xf>
    <xf numFmtId="164" fontId="11" fillId="0" borderId="3" xfId="0" applyFont="true" applyBorder="true" applyAlignment="true" applyProtection="false">
      <alignment horizontal="general" vertical="top" textRotation="0" wrapText="true" indent="0" shrinkToFit="false"/>
      <protection locked="true" hidden="false"/>
    </xf>
    <xf numFmtId="164" fontId="7" fillId="5" borderId="3" xfId="0" applyFont="true" applyBorder="true" applyAlignment="true" applyProtection="false">
      <alignment horizontal="general" vertical="top" textRotation="0" wrapText="true" indent="0" shrinkToFit="false"/>
      <protection locked="true" hidden="false"/>
    </xf>
    <xf numFmtId="164" fontId="11" fillId="6" borderId="3" xfId="0" applyFont="true" applyBorder="true" applyAlignment="true" applyProtection="false">
      <alignment horizontal="center" vertical="center" textRotation="0" wrapText="true" indent="0" shrinkToFit="false"/>
      <protection locked="true" hidden="false"/>
    </xf>
    <xf numFmtId="164" fontId="7" fillId="7" borderId="3" xfId="0" applyFont="true" applyBorder="true" applyAlignment="true" applyProtection="false">
      <alignment horizontal="general" vertical="top" textRotation="0" wrapText="true" indent="0" shrinkToFit="false"/>
      <protection locked="true" hidden="false"/>
    </xf>
    <xf numFmtId="164" fontId="7" fillId="8" borderId="3" xfId="0" applyFont="true" applyBorder="true" applyAlignment="true" applyProtection="false">
      <alignment horizontal="general" vertical="top" textRotation="0" wrapText="true" indent="0" shrinkToFit="false"/>
      <protection locked="true" hidden="false"/>
    </xf>
    <xf numFmtId="164" fontId="11" fillId="9" borderId="3" xfId="0" applyFont="true" applyBorder="true" applyAlignment="true" applyProtection="false">
      <alignment horizontal="center" vertical="center" textRotation="0" wrapText="true" indent="0" shrinkToFit="false"/>
      <protection locked="true" hidden="false"/>
    </xf>
    <xf numFmtId="164" fontId="7" fillId="10"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general" vertical="top" textRotation="0" wrapText="true" indent="0" shrinkToFit="false"/>
      <protection locked="true" hidden="false"/>
    </xf>
    <xf numFmtId="164" fontId="13" fillId="11" borderId="2" xfId="0" applyFont="true" applyBorder="true" applyAlignment="true" applyProtection="false">
      <alignment horizontal="general" vertical="top" textRotation="0" wrapText="true" indent="0" shrinkToFit="false"/>
      <protection locked="true" hidden="false"/>
    </xf>
    <xf numFmtId="164" fontId="15" fillId="0" borderId="3"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6" borderId="3" xfId="0" applyFont="true" applyBorder="true" applyAlignment="false" applyProtection="false">
      <alignment horizontal="general" vertical="bottom" textRotation="0" wrapText="false" indent="0" shrinkToFit="false"/>
      <protection locked="true" hidden="false"/>
    </xf>
    <xf numFmtId="164" fontId="14" fillId="12" borderId="3" xfId="0" applyFont="true" applyBorder="true" applyAlignment="false" applyProtection="false">
      <alignment horizontal="general" vertical="bottom" textRotation="0" wrapText="false" indent="0" shrinkToFit="false"/>
      <protection locked="true" hidden="false"/>
    </xf>
    <xf numFmtId="164" fontId="11" fillId="13" borderId="3" xfId="0" applyFont="true" applyBorder="true" applyAlignment="false" applyProtection="false">
      <alignment horizontal="general" vertical="bottom" textRotation="0" wrapText="false" indent="0" shrinkToFit="false"/>
      <protection locked="true" hidden="false"/>
    </xf>
    <xf numFmtId="164" fontId="7" fillId="0" borderId="3"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left" vertical="center" textRotation="0" wrapText="false" indent="1" shrinkToFit="false"/>
      <protection locked="true" hidden="false"/>
    </xf>
    <xf numFmtId="165" fontId="16" fillId="0" borderId="3" xfId="0" applyFont="true" applyBorder="true" applyAlignment="true" applyProtection="false">
      <alignment horizontal="center" vertical="center" textRotation="0" wrapText="true" indent="0" shrinkToFit="false"/>
      <protection locked="true" hidden="false"/>
    </xf>
    <xf numFmtId="164" fontId="15" fillId="6" borderId="3" xfId="0" applyFont="true" applyBorder="true" applyAlignment="true" applyProtection="false">
      <alignment horizontal="center" vertical="center"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6" fontId="16" fillId="0" borderId="3" xfId="0" applyFont="true" applyBorder="true" applyAlignment="true" applyProtection="false">
      <alignment horizontal="center" vertical="center" textRotation="0" wrapText="true" indent="0" shrinkToFit="false"/>
      <protection locked="true" hidden="false"/>
    </xf>
    <xf numFmtId="166" fontId="15" fillId="6" borderId="3" xfId="0" applyFont="true" applyBorder="true" applyAlignment="true" applyProtection="false">
      <alignment horizontal="center" vertical="center" textRotation="0" wrapText="true" indent="0" shrinkToFit="false"/>
      <protection locked="true" hidden="false"/>
    </xf>
    <xf numFmtId="164" fontId="11" fillId="0" borderId="3" xfId="0" applyFont="true" applyBorder="true" applyAlignment="true" applyProtection="false">
      <alignment horizontal="center" vertical="center" textRotation="0" wrapText="true" indent="0" shrinkToFit="false"/>
      <protection locked="true" hidden="false"/>
    </xf>
    <xf numFmtId="166" fontId="11" fillId="0" borderId="3" xfId="0" applyFont="true" applyBorder="true" applyAlignment="true" applyProtection="false">
      <alignment horizontal="center" vertical="center" textRotation="0" wrapText="true" indent="0" shrinkToFit="false"/>
      <protection locked="true" hidden="false"/>
    </xf>
    <xf numFmtId="164" fontId="7" fillId="4" borderId="3" xfId="0" applyFont="true" applyBorder="true" applyAlignment="true" applyProtection="false">
      <alignment horizontal="general" vertical="top" textRotation="0" wrapText="true" indent="0" shrinkToFit="false"/>
      <protection locked="true" hidden="false"/>
    </xf>
    <xf numFmtId="165" fontId="7" fillId="4" borderId="3" xfId="0" applyFont="true" applyBorder="true" applyAlignment="true" applyProtection="false">
      <alignment horizontal="center" vertical="center" textRotation="0" wrapText="true" indent="0" shrinkToFit="false"/>
      <protection locked="true" hidden="false"/>
    </xf>
    <xf numFmtId="166" fontId="7" fillId="4" borderId="3" xfId="0" applyFont="true" applyBorder="true" applyAlignment="true" applyProtection="false">
      <alignment horizontal="center" vertical="center" textRotation="0" wrapText="true" indent="0" shrinkToFit="false"/>
      <protection locked="true" hidden="false"/>
    </xf>
    <xf numFmtId="164" fontId="15" fillId="0"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4" fontId="13" fillId="14" borderId="2" xfId="0" applyFont="true" applyBorder="true" applyAlignment="true" applyProtection="false">
      <alignment horizontal="general" vertical="top" textRotation="0" wrapText="true" indent="0" shrinkToFit="false"/>
      <protection locked="true" hidden="false"/>
    </xf>
    <xf numFmtId="164" fontId="11" fillId="13" borderId="3" xfId="0" applyFont="true" applyBorder="true" applyAlignment="true" applyProtection="false">
      <alignment horizontal="center" vertical="center" textRotation="0" wrapText="true" indent="0" shrinkToFit="false"/>
      <protection locked="true" hidden="false"/>
    </xf>
    <xf numFmtId="164" fontId="15" fillId="6" borderId="3" xfId="0" applyFont="true" applyBorder="true" applyAlignment="true" applyProtection="false">
      <alignment horizontal="general" vertical="top" textRotation="0" wrapText="true" indent="0" shrinkToFit="false"/>
      <protection locked="true" hidden="false"/>
    </xf>
    <xf numFmtId="164" fontId="11" fillId="15" borderId="3" xfId="0" applyFont="true" applyBorder="true" applyAlignment="true" applyProtection="false">
      <alignment horizontal="center" vertical="center" textRotation="0" wrapText="true" indent="0" shrinkToFit="false"/>
      <protection locked="true" hidden="false"/>
    </xf>
    <xf numFmtId="164" fontId="11" fillId="16" borderId="3" xfId="0" applyFont="true" applyBorder="true" applyAlignment="true" applyProtection="false">
      <alignment horizontal="center" vertical="center" textRotation="0" wrapText="true" indent="0" shrinkToFit="false"/>
      <protection locked="true" hidden="false"/>
    </xf>
    <xf numFmtId="164" fontId="17" fillId="5" borderId="3"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center" vertical="center" textRotation="0" wrapText="true" indent="0" shrinkToFit="false"/>
      <protection locked="true" hidden="false"/>
    </xf>
    <xf numFmtId="164" fontId="17" fillId="8" borderId="3" xfId="0" applyFont="true" applyBorder="true" applyAlignment="true" applyProtection="false">
      <alignment horizontal="center" vertical="center" textRotation="0" wrapText="true" indent="0" shrinkToFit="false"/>
      <protection locked="true" hidden="false"/>
    </xf>
    <xf numFmtId="164" fontId="15" fillId="9" borderId="3" xfId="0" applyFont="true" applyBorder="true" applyAlignment="true" applyProtection="false">
      <alignment horizontal="center" vertical="center" textRotation="0" wrapText="true" indent="0" shrinkToFit="false"/>
      <protection locked="true" hidden="false"/>
    </xf>
    <xf numFmtId="164" fontId="17" fillId="10" borderId="3" xfId="0" applyFont="true" applyBorder="true" applyAlignment="true" applyProtection="false">
      <alignment horizontal="center" vertical="center" textRotation="0" wrapText="true" indent="0" shrinkToFit="false"/>
      <protection locked="true" hidden="false"/>
    </xf>
    <xf numFmtId="164" fontId="11" fillId="4" borderId="3" xfId="0" applyFont="true" applyBorder="true" applyAlignment="true" applyProtection="false">
      <alignment horizontal="center" vertical="center" textRotation="0" wrapText="tru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19" fillId="17" borderId="4" xfId="0" applyFont="true" applyBorder="true" applyAlignment="true" applyProtection="false">
      <alignment horizontal="center" vertical="center" textRotation="0" wrapText="true" indent="0" shrinkToFit="false"/>
      <protection locked="true" hidden="false"/>
    </xf>
    <xf numFmtId="164" fontId="14" fillId="18" borderId="0" xfId="0" applyFont="true" applyBorder="true" applyAlignment="true" applyProtection="false">
      <alignment horizontal="center" vertical="center" textRotation="0" wrapText="true" indent="0" shrinkToFit="false"/>
      <protection locked="true" hidden="false"/>
    </xf>
    <xf numFmtId="164" fontId="19" fillId="19" borderId="4" xfId="0" applyFont="true" applyBorder="true" applyAlignment="true" applyProtection="false">
      <alignment horizontal="center" vertical="center" textRotation="0" wrapText="true" indent="0" shrinkToFit="false"/>
      <protection locked="true" hidden="false"/>
    </xf>
    <xf numFmtId="164" fontId="20" fillId="6" borderId="5" xfId="0" applyFont="true" applyBorder="true" applyAlignment="true" applyProtection="false">
      <alignment horizontal="center" vertical="center" textRotation="0" wrapText="true" indent="0" shrinkToFit="false"/>
      <protection locked="true" hidden="false"/>
    </xf>
    <xf numFmtId="164" fontId="20" fillId="8" borderId="5" xfId="0" applyFont="true" applyBorder="true" applyAlignment="true" applyProtection="false">
      <alignment horizontal="center" vertical="center" textRotation="0" wrapText="true" indent="0" shrinkToFit="false"/>
      <protection locked="true" hidden="false"/>
    </xf>
    <xf numFmtId="164" fontId="21" fillId="5" borderId="6" xfId="0" applyFont="true" applyBorder="true" applyAlignment="true" applyProtection="false">
      <alignment horizontal="center" vertical="center" textRotation="0" wrapText="true" indent="0" shrinkToFit="false"/>
      <protection locked="true" hidden="false"/>
    </xf>
    <xf numFmtId="164" fontId="21" fillId="5" borderId="3" xfId="0" applyFont="true" applyBorder="true" applyAlignment="true" applyProtection="false">
      <alignment horizontal="center" vertical="center" textRotation="0" wrapText="true" indent="0" shrinkToFit="false"/>
      <protection locked="true" hidden="false"/>
    </xf>
    <xf numFmtId="164" fontId="21" fillId="5" borderId="7" xfId="0" applyFont="true" applyBorder="true" applyAlignment="true" applyProtection="false">
      <alignment horizontal="center" vertical="center" textRotation="0" wrapText="true" indent="0" shrinkToFit="false"/>
      <protection locked="true" hidden="false"/>
    </xf>
    <xf numFmtId="164" fontId="22" fillId="12" borderId="6" xfId="0" applyFont="true" applyBorder="true" applyAlignment="true" applyProtection="false">
      <alignment horizontal="center" vertical="center" textRotation="0" wrapText="true" indent="0" shrinkToFit="false"/>
      <protection locked="true" hidden="false"/>
    </xf>
    <xf numFmtId="164" fontId="22" fillId="12" borderId="3" xfId="0" applyFont="true" applyBorder="true" applyAlignment="true" applyProtection="false">
      <alignment horizontal="center" vertical="center" textRotation="0" wrapText="true" indent="0" shrinkToFit="false"/>
      <protection locked="true" hidden="false"/>
    </xf>
    <xf numFmtId="164" fontId="21" fillId="8" borderId="7" xfId="0" applyFont="true" applyBorder="true" applyAlignment="true" applyProtection="false">
      <alignment horizontal="center" vertical="center" textRotation="0" wrapText="true" indent="0" shrinkToFit="false"/>
      <protection locked="true" hidden="false"/>
    </xf>
    <xf numFmtId="164" fontId="22" fillId="12" borderId="7" xfId="0" applyFont="true" applyBorder="true" applyAlignment="true" applyProtection="false">
      <alignment horizontal="center" vertical="center" textRotation="0" wrapText="true" indent="0" shrinkToFit="false"/>
      <protection locked="true" hidden="false"/>
    </xf>
    <xf numFmtId="164" fontId="21" fillId="8" borderId="8" xfId="0" applyFont="true" applyBorder="true" applyAlignment="true" applyProtection="false">
      <alignment horizontal="center" vertical="center" textRotation="0" wrapText="true" indent="0" shrinkToFit="false"/>
      <protection locked="true" hidden="false"/>
    </xf>
    <xf numFmtId="164" fontId="21" fillId="8" borderId="9" xfId="0" applyFont="true" applyBorder="true" applyAlignment="true" applyProtection="false">
      <alignment horizontal="center" vertical="center" textRotation="0" wrapText="true" indent="0" shrinkToFit="false"/>
      <protection locked="true" hidden="false"/>
    </xf>
    <xf numFmtId="164" fontId="21" fillId="8" borderId="10" xfId="0" applyFont="true" applyBorder="true" applyAlignment="true" applyProtection="false">
      <alignment horizontal="center" vertical="center" textRotation="0" wrapText="true" indent="0" shrinkToFit="false"/>
      <protection locked="true" hidden="false"/>
    </xf>
    <xf numFmtId="164" fontId="21" fillId="5" borderId="8" xfId="0" applyFont="true" applyBorder="true" applyAlignment="true" applyProtection="false">
      <alignment horizontal="center" vertical="center" textRotation="0" wrapText="true" indent="0" shrinkToFit="false"/>
      <protection locked="true" hidden="false"/>
    </xf>
    <xf numFmtId="164" fontId="0" fillId="20" borderId="9" xfId="0" applyFont="false" applyBorder="true" applyAlignment="false" applyProtection="false">
      <alignment horizontal="general" vertical="bottom" textRotation="0" wrapText="false" indent="0" shrinkToFit="false"/>
      <protection locked="true" hidden="false"/>
    </xf>
    <xf numFmtId="164" fontId="0" fillId="20" borderId="10" xfId="0" applyFont="false" applyBorder="true" applyAlignment="false" applyProtection="false">
      <alignment horizontal="general" vertical="bottom" textRotation="0" wrapText="false" indent="0" shrinkToFit="false"/>
      <protection locked="true" hidden="false"/>
    </xf>
    <xf numFmtId="164" fontId="19" fillId="12" borderId="4" xfId="0" applyFont="true" applyBorder="true" applyAlignment="true" applyProtection="false">
      <alignment horizontal="center" vertical="center" textRotation="0" wrapText="true" indent="0" shrinkToFit="false"/>
      <protection locked="true" hidden="false"/>
    </xf>
    <xf numFmtId="164" fontId="20" fillId="10" borderId="5" xfId="0" applyFont="true" applyBorder="true" applyAlignment="true" applyProtection="false">
      <alignment horizontal="center" vertical="center" textRotation="0" wrapText="true" indent="0" shrinkToFit="false"/>
      <protection locked="true" hidden="false"/>
    </xf>
    <xf numFmtId="164" fontId="19" fillId="21" borderId="4" xfId="0" applyFont="true" applyBorder="true" applyAlignment="true" applyProtection="false">
      <alignment horizontal="center" vertical="center" textRotation="0" wrapText="true" indent="0" shrinkToFit="false"/>
      <protection locked="true" hidden="false"/>
    </xf>
    <xf numFmtId="164" fontId="21" fillId="10" borderId="6" xfId="0" applyFont="true" applyBorder="true" applyAlignment="true" applyProtection="false">
      <alignment horizontal="center" vertical="center" textRotation="0" wrapText="true" indent="0" shrinkToFit="false"/>
      <protection locked="true" hidden="false"/>
    </xf>
    <xf numFmtId="164" fontId="21" fillId="10" borderId="3" xfId="0" applyFont="true" applyBorder="true" applyAlignment="true" applyProtection="false">
      <alignment horizontal="center" vertical="center" textRotation="0" wrapText="true" indent="0" shrinkToFit="false"/>
      <protection locked="true" hidden="false"/>
    </xf>
    <xf numFmtId="164" fontId="21" fillId="10" borderId="7" xfId="0" applyFont="true" applyBorder="true" applyAlignment="true" applyProtection="false">
      <alignment horizontal="center" vertical="center" textRotation="0" wrapText="true" indent="0" shrinkToFit="false"/>
      <protection locked="true" hidden="false"/>
    </xf>
    <xf numFmtId="164" fontId="21" fillId="10" borderId="8" xfId="0" applyFont="true" applyBorder="true" applyAlignment="true" applyProtection="false">
      <alignment horizontal="center" vertical="center" textRotation="0" wrapText="true" indent="0" shrinkToFit="false"/>
      <protection locked="true" hidden="false"/>
    </xf>
    <xf numFmtId="164" fontId="21" fillId="10" borderId="9" xfId="0" applyFont="true" applyBorder="true" applyAlignment="true" applyProtection="false">
      <alignment horizontal="center" vertical="center" textRotation="0" wrapText="true" indent="0" shrinkToFit="false"/>
      <protection locked="true" hidden="false"/>
    </xf>
    <xf numFmtId="164" fontId="21" fillId="7" borderId="6" xfId="0" applyFont="true" applyBorder="true" applyAlignment="true" applyProtection="false">
      <alignment horizontal="center" vertical="center" textRotation="0" wrapText="true" indent="0" shrinkToFit="false"/>
      <protection locked="true" hidden="false"/>
    </xf>
    <xf numFmtId="164" fontId="21" fillId="7" borderId="3" xfId="0" applyFont="true" applyBorder="true" applyAlignment="true" applyProtection="false">
      <alignment horizontal="center" vertical="center" textRotation="0" wrapText="true" indent="0" shrinkToFit="false"/>
      <protection locked="true" hidden="false"/>
    </xf>
    <xf numFmtId="164" fontId="21" fillId="7" borderId="7" xfId="0" applyFont="true" applyBorder="true" applyAlignment="true" applyProtection="false">
      <alignment horizontal="center" vertical="center" textRotation="0" wrapText="true" indent="0" shrinkToFit="false"/>
      <protection locked="true" hidden="false"/>
    </xf>
    <xf numFmtId="164" fontId="21" fillId="7" borderId="8" xfId="0" applyFont="true" applyBorder="true" applyAlignment="true" applyProtection="false">
      <alignment horizontal="center" vertical="center" textRotation="0" wrapText="true" indent="0" shrinkToFit="false"/>
      <protection locked="true" hidden="false"/>
    </xf>
    <xf numFmtId="164" fontId="21" fillId="7" borderId="9" xfId="0" applyFont="true" applyBorder="true" applyAlignment="true" applyProtection="false">
      <alignment horizontal="center" vertical="center" textRotation="0" wrapText="true" indent="0" shrinkToFit="false"/>
      <protection locked="true" hidden="false"/>
    </xf>
    <xf numFmtId="164" fontId="21" fillId="7" borderId="10" xfId="0" applyFont="true" applyBorder="true" applyAlignment="true" applyProtection="false">
      <alignment horizontal="center" vertical="center" textRotation="0" wrapText="true" indent="0" shrinkToFit="false"/>
      <protection locked="true" hidden="false"/>
    </xf>
    <xf numFmtId="164" fontId="7" fillId="5" borderId="3" xfId="0" applyFont="tru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7" fillId="7" borderId="3" xfId="0" applyFont="true" applyBorder="true" applyAlignment="false" applyProtection="false">
      <alignment horizontal="general" vertical="bottom" textRotation="0" wrapText="false" indent="0" shrinkToFit="false"/>
      <protection locked="true" hidden="false"/>
    </xf>
    <xf numFmtId="164" fontId="7" fillId="8" borderId="3" xfId="0" applyFont="true" applyBorder="true" applyAlignment="false" applyProtection="false">
      <alignment horizontal="general" vertical="bottom" textRotation="0" wrapText="false" indent="0" shrinkToFit="false"/>
      <protection locked="true" hidden="false"/>
    </xf>
    <xf numFmtId="164" fontId="7" fillId="10" borderId="3" xfId="0" applyFont="true" applyBorder="true" applyAlignment="false" applyProtection="false">
      <alignment horizontal="general" vertical="bottom" textRotation="0" wrapText="false" indent="0" shrinkToFit="false"/>
      <protection locked="true" hidden="false"/>
    </xf>
    <xf numFmtId="164" fontId="7" fillId="14" borderId="3" xfId="0" applyFont="true" applyBorder="true" applyAlignment="false" applyProtection="false">
      <alignment horizontal="general" vertical="bottom" textRotation="0" wrapText="false" indent="0" shrinkToFit="false"/>
      <protection locked="true" hidden="false"/>
    </xf>
    <xf numFmtId="164" fontId="23" fillId="4" borderId="11" xfId="0" applyFont="true" applyBorder="true" applyAlignment="true" applyProtection="false">
      <alignment horizontal="general" vertical="top" textRotation="0" wrapText="true" indent="0" shrinkToFit="false"/>
      <protection locked="true" hidden="false"/>
    </xf>
    <xf numFmtId="164" fontId="11" fillId="5" borderId="3" xfId="0" applyFont="true" applyBorder="true" applyAlignment="true" applyProtection="false">
      <alignment horizontal="general" vertical="top" textRotation="0" wrapText="true" indent="0" shrinkToFit="false"/>
      <protection locked="true" hidden="false"/>
    </xf>
    <xf numFmtId="164" fontId="11" fillId="14" borderId="3" xfId="0" applyFont="true" applyBorder="true" applyAlignment="true" applyProtection="false">
      <alignment horizontal="center" vertical="center" textRotation="0" wrapText="true" indent="0" shrinkToFit="false"/>
      <protection locked="true" hidden="false"/>
    </xf>
    <xf numFmtId="164" fontId="11" fillId="20" borderId="3" xfId="0" applyFont="true" applyBorder="true" applyAlignment="true" applyProtection="false">
      <alignment horizontal="center" vertical="center" textRotation="0" wrapText="true" indent="0" shrinkToFit="false"/>
      <protection locked="true" hidden="false"/>
    </xf>
    <xf numFmtId="164" fontId="11" fillId="6" borderId="3" xfId="0" applyFont="true" applyBorder="true" applyAlignment="true" applyProtection="false">
      <alignment horizontal="general" vertical="top" textRotation="0" wrapText="true" indent="0" shrinkToFit="false"/>
      <protection locked="true" hidden="false"/>
    </xf>
    <xf numFmtId="164" fontId="14" fillId="12" borderId="3" xfId="0" applyFont="true" applyBorder="true" applyAlignment="true" applyProtection="false">
      <alignment horizontal="general" vertical="top" textRotation="0" wrapText="true" indent="0" shrinkToFit="false"/>
      <protection locked="true" hidden="false"/>
    </xf>
    <xf numFmtId="164" fontId="11" fillId="22" borderId="3" xfId="0" applyFont="true" applyBorder="true" applyAlignment="true" applyProtection="false">
      <alignment horizontal="center" vertical="center" textRotation="0" wrapText="true" indent="0" shrinkToFit="false"/>
      <protection locked="true" hidden="false"/>
    </xf>
    <xf numFmtId="164" fontId="11" fillId="7" borderId="3" xfId="0" applyFont="true" applyBorder="true" applyAlignment="true" applyProtection="false">
      <alignment horizontal="general" vertical="top" textRotation="0" wrapText="true" indent="0" shrinkToFit="false"/>
      <protection locked="true" hidden="false"/>
    </xf>
    <xf numFmtId="164" fontId="11" fillId="8" borderId="3" xfId="0" applyFont="true" applyBorder="true" applyAlignment="true" applyProtection="false">
      <alignment horizontal="general" vertical="top" textRotation="0" wrapText="true" indent="0" shrinkToFit="false"/>
      <protection locked="true" hidden="false"/>
    </xf>
    <xf numFmtId="164" fontId="11" fillId="9" borderId="3" xfId="0" applyFont="true" applyBorder="true" applyAlignment="true" applyProtection="false">
      <alignment horizontal="general" vertical="top" textRotation="0" wrapText="true" indent="0" shrinkToFit="false"/>
      <protection locked="true" hidden="false"/>
    </xf>
    <xf numFmtId="164" fontId="11" fillId="10" borderId="3" xfId="0" applyFont="true" applyBorder="true" applyAlignment="true" applyProtection="false">
      <alignment horizontal="general" vertical="top" textRotation="0" wrapText="true" indent="0" shrinkToFit="false"/>
      <protection locked="true" hidden="false"/>
    </xf>
    <xf numFmtId="165" fontId="12" fillId="0" borderId="3" xfId="0" applyFont="true" applyBorder="true" applyAlignment="true" applyProtection="false">
      <alignment horizontal="center" vertical="center" textRotation="0" wrapText="true" indent="0" shrinkToFit="false"/>
      <protection locked="true" hidden="false"/>
    </xf>
    <xf numFmtId="166" fontId="12" fillId="0" borderId="3" xfId="0" applyFont="true" applyBorder="true" applyAlignment="true" applyProtection="false">
      <alignment horizontal="center" vertical="center" textRotation="0" wrapText="true" indent="0" shrinkToFit="false"/>
      <protection locked="true" hidden="false"/>
    </xf>
    <xf numFmtId="164" fontId="7" fillId="10" borderId="3" xfId="0" applyFont="true" applyBorder="true" applyAlignment="true" applyProtection="false">
      <alignment horizontal="center" vertical="center" textRotation="0" wrapText="true" indent="0" shrinkToFit="false"/>
      <protection locked="true" hidden="false"/>
    </xf>
    <xf numFmtId="164" fontId="15" fillId="0" borderId="3" xfId="0" applyFont="true" applyBorder="true" applyAlignment="true" applyProtection="false">
      <alignment horizontal="center" vertical="center" textRotation="0" wrapText="true" indent="0" shrinkToFit="false"/>
      <protection locked="true" hidden="false"/>
    </xf>
    <xf numFmtId="164" fontId="15" fillId="9" borderId="3" xfId="0" applyFont="true" applyBorder="true" applyAlignment="true" applyProtection="false">
      <alignment horizontal="general" vertical="top" textRotation="0" wrapText="true" indent="0" shrinkToFit="false"/>
      <protection locked="true" hidden="false"/>
    </xf>
    <xf numFmtId="164" fontId="7" fillId="15" borderId="3" xfId="0" applyFont="true" applyBorder="true" applyAlignment="true" applyProtection="false">
      <alignment horizontal="center" vertical="center" textRotation="0" wrapText="true" indent="0" shrinkToFit="false"/>
      <protection locked="true" hidden="false"/>
    </xf>
    <xf numFmtId="164" fontId="7" fillId="16" borderId="3" xfId="0" applyFont="true" applyBorder="true" applyAlignment="true" applyProtection="false">
      <alignment horizontal="center" vertical="center" textRotation="0" wrapText="true" indent="0" shrinkToFit="false"/>
      <protection locked="true" hidden="false"/>
    </xf>
    <xf numFmtId="164" fontId="24" fillId="14" borderId="3"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3" xfId="0" applyFont="true" applyBorder="true" applyAlignment="false" applyProtection="false">
      <alignment horizontal="general" vertical="bottom" textRotation="0" wrapText="false" indent="0" shrinkToFit="false"/>
      <protection locked="true" hidden="false"/>
    </xf>
    <xf numFmtId="167" fontId="7" fillId="14" borderId="3" xfId="0" applyFont="true" applyBorder="true" applyAlignment="true" applyProtection="false">
      <alignment horizontal="center" vertical="center" textRotation="0" wrapText="true" indent="0" shrinkToFit="false"/>
      <protection locked="true" hidden="false"/>
    </xf>
    <xf numFmtId="164" fontId="11" fillId="4" borderId="3" xfId="0" applyFont="true" applyBorder="true" applyAlignment="true" applyProtection="false">
      <alignment horizontal="general" vertical="top" textRotation="0" wrapText="true" indent="0" shrinkToFit="false"/>
      <protection locked="true" hidden="false"/>
    </xf>
    <xf numFmtId="164" fontId="9" fillId="5" borderId="3" xfId="0" applyFont="true" applyBorder="true" applyAlignment="false" applyProtection="false">
      <alignment horizontal="general" vertical="bottom" textRotation="0" wrapText="false" indent="0" shrinkToFit="false"/>
      <protection locked="true" hidden="false"/>
    </xf>
    <xf numFmtId="166" fontId="7" fillId="0" borderId="3" xfId="0" applyFont="true" applyBorder="true" applyAlignment="true" applyProtection="false">
      <alignment horizontal="center" vertical="center" textRotation="0" wrapText="true" indent="0" shrinkToFit="false"/>
      <protection locked="true" hidden="false"/>
    </xf>
    <xf numFmtId="164" fontId="9" fillId="7" borderId="3" xfId="0" applyFont="true" applyBorder="true" applyAlignment="false" applyProtection="false">
      <alignment horizontal="general" vertical="bottom" textRotation="0" wrapText="false" indent="0" shrinkToFit="false"/>
      <protection locked="true" hidden="false"/>
    </xf>
    <xf numFmtId="164" fontId="9" fillId="8" borderId="3" xfId="0" applyFont="true" applyBorder="true" applyAlignment="false" applyProtection="false">
      <alignment horizontal="general" vertical="bottom" textRotation="0" wrapText="false" indent="0" shrinkToFit="false"/>
      <protection locked="true" hidden="false"/>
    </xf>
    <xf numFmtId="164" fontId="9" fillId="10" borderId="3" xfId="0" applyFont="true" applyBorder="true" applyAlignment="false" applyProtection="false">
      <alignment horizontal="general" vertical="bottom" textRotation="0" wrapText="false" indent="0" shrinkToFit="false"/>
      <protection locked="true" hidden="false"/>
    </xf>
    <xf numFmtId="166" fontId="0" fillId="0" borderId="3" xfId="0" applyFont="false" applyBorder="true" applyAlignment="false" applyProtection="false">
      <alignment horizontal="general" vertical="bottom" textRotation="0" wrapText="false" indent="0" shrinkToFit="false"/>
      <protection locked="true" hidden="false"/>
    </xf>
    <xf numFmtId="164" fontId="7" fillId="4" borderId="3" xfId="0" applyFont="true" applyBorder="true" applyAlignment="false" applyProtection="false">
      <alignment horizontal="general" vertical="bottom" textRotation="0" wrapText="fals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7B101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BDD7EE"/>
      <rgbColor rgb="FF000080"/>
      <rgbColor rgb="FFFF00FF"/>
      <rgbColor rgb="FFFBE0C0"/>
      <rgbColor rgb="FF00FFFF"/>
      <rgbColor rgb="FF800080"/>
      <rgbColor rgb="FF800000"/>
      <rgbColor rgb="FF008080"/>
      <rgbColor rgb="FF0000FF"/>
      <rgbColor rgb="FF00CCFF"/>
      <rgbColor rgb="FFEFEFEF"/>
      <rgbColor rgb="FFE2EFDA"/>
      <rgbColor rgb="FFFFE599"/>
      <rgbColor rgb="FFC6E0B4"/>
      <rgbColor rgb="FFF4B8B8"/>
      <rgbColor rgb="FFF7E3E3"/>
      <rgbColor rgb="FFF4CCCC"/>
      <rgbColor rgb="FF2E75B6"/>
      <rgbColor rgb="FF33CCCC"/>
      <rgbColor rgb="FF99CC00"/>
      <rgbColor rgb="FFF5C242"/>
      <rgbColor rgb="FFBF8F00"/>
      <rgbColor rgb="FFFF6600"/>
      <rgbColor rgb="FF666666"/>
      <rgbColor rgb="FF969696"/>
      <rgbColor rgb="FF003366"/>
      <rgbColor rgb="FF339966"/>
      <rgbColor rgb="FF375623"/>
      <rgbColor rgb="FF1A1A1A"/>
      <rgbColor rgb="FFA61C00"/>
      <rgbColor rgb="FF993366"/>
      <rgbColor rgb="FF1F4E7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30"/>
    <col collapsed="false" customWidth="true" hidden="false" outlineLevel="0" max="4" min="4" style="0" width="46"/>
    <col collapsed="false" customWidth="true" hidden="false" outlineLevel="0" max="5" min="5" style="0" width="34"/>
  </cols>
  <sheetData>
    <row r="1" customFormat="false" ht="25.5" hidden="false" customHeight="true" outlineLevel="0" collapsed="false">
      <c r="A1" s="1" t="s">
        <v>0</v>
      </c>
      <c r="B1" s="1"/>
      <c r="C1" s="1"/>
      <c r="D1" s="1"/>
      <c r="E1" s="1"/>
    </row>
    <row r="3" customFormat="false" ht="18" hidden="false" customHeight="true" outlineLevel="0" collapsed="false">
      <c r="B3" s="2" t="s">
        <v>1</v>
      </c>
      <c r="C3" s="3" t="s">
        <v>2</v>
      </c>
      <c r="D3" s="3"/>
      <c r="E3" s="3"/>
    </row>
    <row r="4" customFormat="false" ht="18" hidden="false" customHeight="true" outlineLevel="0" collapsed="false">
      <c r="B4" s="2"/>
      <c r="C4" s="4" t="s">
        <v>3</v>
      </c>
      <c r="D4" s="4"/>
      <c r="E4" s="4"/>
    </row>
    <row r="5" customFormat="false" ht="18" hidden="false" customHeight="true" outlineLevel="0" collapsed="false">
      <c r="B5" s="2"/>
      <c r="C5" s="5" t="s">
        <v>4</v>
      </c>
      <c r="D5" s="5"/>
      <c r="E5" s="5"/>
    </row>
    <row r="6" customFormat="false" ht="18" hidden="false" customHeight="true" outlineLevel="0" collapsed="false">
      <c r="B6" s="2"/>
      <c r="C6" s="5" t="s">
        <v>5</v>
      </c>
      <c r="D6" s="5"/>
      <c r="E6" s="5"/>
    </row>
    <row r="7" customFormat="false" ht="18" hidden="false" customHeight="true" outlineLevel="0" collapsed="false">
      <c r="B7" s="2"/>
      <c r="C7" s="6" t="s">
        <v>6</v>
      </c>
      <c r="D7" s="6"/>
      <c r="E7" s="6"/>
    </row>
    <row r="8" customFormat="false" ht="15" hidden="false" customHeight="false" outlineLevel="0" collapsed="false">
      <c r="B8" s="7" t="s">
        <v>7</v>
      </c>
      <c r="C8" s="7"/>
      <c r="D8" s="7"/>
      <c r="E8" s="7"/>
    </row>
    <row r="10" customFormat="false" ht="15" hidden="false" customHeight="true" outlineLevel="0" collapsed="false">
      <c r="B10" s="8" t="s">
        <v>8</v>
      </c>
      <c r="C10" s="9" t="s">
        <v>9</v>
      </c>
      <c r="D10" s="9"/>
      <c r="E10" s="9"/>
    </row>
    <row r="11" customFormat="false" ht="15" hidden="false" customHeight="true" outlineLevel="0" collapsed="false">
      <c r="B11" s="8" t="s">
        <v>10</v>
      </c>
      <c r="C11" s="9" t="s">
        <v>11</v>
      </c>
      <c r="D11" s="9"/>
      <c r="E11" s="9"/>
    </row>
    <row r="12" customFormat="false" ht="15" hidden="false" customHeight="true" outlineLevel="0" collapsed="false">
      <c r="B12" s="8" t="s">
        <v>12</v>
      </c>
      <c r="C12" s="9" t="s">
        <v>13</v>
      </c>
      <c r="D12" s="9"/>
      <c r="E12" s="9"/>
    </row>
    <row r="13" customFormat="false" ht="15" hidden="false" customHeight="true" outlineLevel="0" collapsed="false">
      <c r="B13" s="8" t="s">
        <v>14</v>
      </c>
      <c r="C13" s="9" t="s">
        <v>15</v>
      </c>
      <c r="D13" s="9"/>
      <c r="E13" s="9"/>
    </row>
    <row r="15" customFormat="false" ht="15" hidden="false" customHeight="false" outlineLevel="0" collapsed="false">
      <c r="B15" s="10" t="s">
        <v>16</v>
      </c>
    </row>
    <row r="16" customFormat="false" ht="90" hidden="false" customHeight="true" outlineLevel="0" collapsed="false">
      <c r="A16" s="11" t="s">
        <v>17</v>
      </c>
      <c r="B16" s="11"/>
      <c r="C16" s="11"/>
      <c r="D16" s="11"/>
      <c r="E16" s="11"/>
    </row>
    <row r="18" customFormat="false" ht="15" hidden="false" customHeight="false" outlineLevel="0" collapsed="false">
      <c r="B18" s="10" t="s">
        <v>18</v>
      </c>
    </row>
    <row r="19" customFormat="false" ht="30" hidden="false" customHeight="true" outlineLevel="0" collapsed="false">
      <c r="A19" s="12"/>
      <c r="B19" s="12" t="s">
        <v>19</v>
      </c>
      <c r="C19" s="12" t="s">
        <v>20</v>
      </c>
      <c r="D19" s="12" t="s">
        <v>21</v>
      </c>
      <c r="E19" s="12" t="s">
        <v>22</v>
      </c>
    </row>
    <row r="20" customFormat="false" ht="15" hidden="false" customHeight="false" outlineLevel="0" collapsed="false">
      <c r="A20" s="13"/>
      <c r="B20" s="14" t="s">
        <v>23</v>
      </c>
      <c r="C20" s="13" t="s">
        <v>24</v>
      </c>
      <c r="D20" s="13" t="s">
        <v>25</v>
      </c>
      <c r="E20" s="15" t="s">
        <v>26</v>
      </c>
    </row>
    <row r="21" customFormat="false" ht="15" hidden="false" customHeight="false" outlineLevel="0" collapsed="false">
      <c r="A21" s="13"/>
      <c r="B21" s="16" t="s">
        <v>27</v>
      </c>
      <c r="C21" s="13" t="s">
        <v>24</v>
      </c>
      <c r="D21" s="13" t="s">
        <v>28</v>
      </c>
      <c r="E21" s="15" t="s">
        <v>26</v>
      </c>
    </row>
    <row r="22" customFormat="false" ht="15" hidden="false" customHeight="false" outlineLevel="0" collapsed="false">
      <c r="A22" s="13"/>
      <c r="B22" s="17" t="s">
        <v>29</v>
      </c>
      <c r="C22" s="13" t="s">
        <v>30</v>
      </c>
      <c r="D22" s="13" t="s">
        <v>31</v>
      </c>
      <c r="E22" s="18" t="s">
        <v>32</v>
      </c>
    </row>
    <row r="23" customFormat="false" ht="23.85" hidden="false" customHeight="false" outlineLevel="0" collapsed="false">
      <c r="A23" s="13"/>
      <c r="B23" s="19" t="s">
        <v>33</v>
      </c>
      <c r="C23" s="13" t="s">
        <v>30</v>
      </c>
      <c r="D23" s="13" t="s">
        <v>34</v>
      </c>
      <c r="E23" s="18" t="s">
        <v>35</v>
      </c>
    </row>
    <row r="25" customFormat="false" ht="15" hidden="false" customHeight="false" outlineLevel="0" collapsed="false">
      <c r="B25" s="10" t="s">
        <v>36</v>
      </c>
    </row>
    <row r="26" customFormat="false" ht="30" hidden="false" customHeight="true" outlineLevel="0" collapsed="false">
      <c r="A26" s="12"/>
      <c r="B26" s="12" t="s">
        <v>37</v>
      </c>
      <c r="C26" s="12" t="s">
        <v>38</v>
      </c>
      <c r="D26" s="12" t="s">
        <v>39</v>
      </c>
      <c r="E26" s="12" t="s">
        <v>40</v>
      </c>
    </row>
    <row r="27" customFormat="false" ht="15" hidden="false" customHeight="false" outlineLevel="0" collapsed="false">
      <c r="A27" s="13"/>
      <c r="B27" s="20" t="s">
        <v>41</v>
      </c>
      <c r="C27" s="13" t="s">
        <v>42</v>
      </c>
      <c r="D27" s="13" t="s">
        <v>43</v>
      </c>
      <c r="E27" s="13" t="s">
        <v>44</v>
      </c>
    </row>
    <row r="28" customFormat="false" ht="15" hidden="false" customHeight="false" outlineLevel="0" collapsed="false">
      <c r="A28" s="13"/>
      <c r="B28" s="20" t="s">
        <v>45</v>
      </c>
      <c r="C28" s="13" t="s">
        <v>46</v>
      </c>
      <c r="D28" s="13" t="s">
        <v>47</v>
      </c>
      <c r="E28" s="13" t="s">
        <v>48</v>
      </c>
    </row>
    <row r="29" customFormat="false" ht="15" hidden="false" customHeight="false" outlineLevel="0" collapsed="false">
      <c r="A29" s="13"/>
      <c r="B29" s="20" t="s">
        <v>49</v>
      </c>
      <c r="C29" s="13" t="s">
        <v>50</v>
      </c>
      <c r="D29" s="13" t="s">
        <v>51</v>
      </c>
      <c r="E29" s="13" t="s">
        <v>48</v>
      </c>
    </row>
    <row r="30" customFormat="false" ht="15" hidden="false" customHeight="false" outlineLevel="0" collapsed="false">
      <c r="A30" s="13"/>
      <c r="B30" s="20" t="s">
        <v>52</v>
      </c>
      <c r="C30" s="13" t="s">
        <v>50</v>
      </c>
      <c r="D30" s="13" t="s">
        <v>53</v>
      </c>
      <c r="E30" s="13" t="s">
        <v>48</v>
      </c>
    </row>
    <row r="31" customFormat="false" ht="23.85" hidden="false" customHeight="false" outlineLevel="0" collapsed="false">
      <c r="A31" s="13"/>
      <c r="B31" s="20" t="s">
        <v>54</v>
      </c>
      <c r="C31" s="13" t="s">
        <v>55</v>
      </c>
      <c r="D31" s="13" t="s">
        <v>56</v>
      </c>
      <c r="E31" s="13" t="s">
        <v>48</v>
      </c>
    </row>
    <row r="32" customFormat="false" ht="15" hidden="false" customHeight="false" outlineLevel="0" collapsed="false">
      <c r="A32" s="13"/>
      <c r="B32" s="20" t="s">
        <v>57</v>
      </c>
      <c r="C32" s="13" t="s">
        <v>50</v>
      </c>
      <c r="D32" s="13" t="s">
        <v>58</v>
      </c>
      <c r="E32" s="13" t="s">
        <v>48</v>
      </c>
    </row>
    <row r="33" customFormat="false" ht="15" hidden="false" customHeight="false" outlineLevel="0" collapsed="false">
      <c r="A33" s="13"/>
      <c r="B33" s="20" t="s">
        <v>59</v>
      </c>
      <c r="C33" s="13" t="s">
        <v>60</v>
      </c>
      <c r="D33" s="13" t="s">
        <v>61</v>
      </c>
      <c r="E33" s="13" t="s">
        <v>48</v>
      </c>
    </row>
    <row r="34" customFormat="false" ht="23.85" hidden="false" customHeight="false" outlineLevel="0" collapsed="false">
      <c r="A34" s="13"/>
      <c r="B34" s="20" t="s">
        <v>62</v>
      </c>
      <c r="C34" s="13" t="s">
        <v>63</v>
      </c>
      <c r="D34" s="13" t="s">
        <v>64</v>
      </c>
      <c r="E34" s="13" t="s">
        <v>48</v>
      </c>
    </row>
    <row r="35" customFormat="false" ht="23.85" hidden="false" customHeight="false" outlineLevel="0" collapsed="false">
      <c r="A35" s="13"/>
      <c r="B35" s="20" t="s">
        <v>65</v>
      </c>
      <c r="C35" s="13" t="s">
        <v>66</v>
      </c>
      <c r="D35" s="13" t="s">
        <v>67</v>
      </c>
      <c r="E35" s="13" t="s">
        <v>68</v>
      </c>
    </row>
    <row r="36" customFormat="false" ht="23.85" hidden="false" customHeight="false" outlineLevel="0" collapsed="false">
      <c r="A36" s="13"/>
      <c r="B36" s="20" t="s">
        <v>69</v>
      </c>
      <c r="C36" s="13" t="s">
        <v>70</v>
      </c>
      <c r="D36" s="13" t="s">
        <v>71</v>
      </c>
      <c r="E36" s="13" t="s">
        <v>48</v>
      </c>
    </row>
    <row r="37" customFormat="false" ht="23.85" hidden="false" customHeight="false" outlineLevel="0" collapsed="false">
      <c r="A37" s="13"/>
      <c r="B37" s="20" t="s">
        <v>72</v>
      </c>
      <c r="C37" s="13" t="s">
        <v>73</v>
      </c>
      <c r="D37" s="13" t="s">
        <v>74</v>
      </c>
      <c r="E37" s="13" t="s">
        <v>75</v>
      </c>
    </row>
    <row r="38" customFormat="false" ht="15" hidden="false" customHeight="false" outlineLevel="0" collapsed="false">
      <c r="A38" s="13"/>
      <c r="B38" s="20" t="s">
        <v>76</v>
      </c>
      <c r="C38" s="13" t="s">
        <v>77</v>
      </c>
      <c r="D38" s="13" t="s">
        <v>78</v>
      </c>
      <c r="E38" s="13" t="s">
        <v>48</v>
      </c>
    </row>
    <row r="39" customFormat="false" ht="15" hidden="false" customHeight="false" outlineLevel="0" collapsed="false">
      <c r="A39" s="13"/>
      <c r="B39" s="20" t="s">
        <v>79</v>
      </c>
      <c r="C39" s="13" t="s">
        <v>50</v>
      </c>
      <c r="D39" s="13" t="s">
        <v>80</v>
      </c>
      <c r="E39" s="13" t="s">
        <v>48</v>
      </c>
    </row>
    <row r="40" customFormat="false" ht="15" hidden="false" customHeight="false" outlineLevel="0" collapsed="false">
      <c r="A40" s="13"/>
      <c r="B40" s="20" t="s">
        <v>81</v>
      </c>
      <c r="C40" s="13" t="s">
        <v>82</v>
      </c>
      <c r="D40" s="13" t="s">
        <v>67</v>
      </c>
      <c r="E40" s="13" t="s">
        <v>48</v>
      </c>
    </row>
    <row r="41" customFormat="false" ht="15" hidden="false" customHeight="false" outlineLevel="0" collapsed="false">
      <c r="A41" s="13"/>
      <c r="B41" s="20" t="s">
        <v>83</v>
      </c>
      <c r="C41" s="13" t="s">
        <v>84</v>
      </c>
      <c r="D41" s="13" t="s">
        <v>85</v>
      </c>
      <c r="E41" s="13" t="s">
        <v>86</v>
      </c>
    </row>
    <row r="42" customFormat="false" ht="15" hidden="false" customHeight="false" outlineLevel="0" collapsed="false">
      <c r="A42" s="13"/>
      <c r="B42" s="20" t="s">
        <v>87</v>
      </c>
      <c r="C42" s="13" t="s">
        <v>50</v>
      </c>
      <c r="D42" s="13" t="s">
        <v>88</v>
      </c>
      <c r="E42" s="13" t="s">
        <v>48</v>
      </c>
    </row>
    <row r="43" customFormat="false" ht="23.85" hidden="false" customHeight="false" outlineLevel="0" collapsed="false">
      <c r="A43" s="13"/>
      <c r="B43" s="20" t="s">
        <v>89</v>
      </c>
      <c r="C43" s="13" t="s">
        <v>90</v>
      </c>
      <c r="D43" s="13" t="s">
        <v>67</v>
      </c>
      <c r="E43" s="13" t="s">
        <v>48</v>
      </c>
    </row>
    <row r="44" customFormat="false" ht="15" hidden="false" customHeight="false" outlineLevel="0" collapsed="false">
      <c r="A44" s="13"/>
      <c r="B44" s="20" t="s">
        <v>91</v>
      </c>
      <c r="C44" s="13" t="s">
        <v>92</v>
      </c>
      <c r="D44" s="13" t="s">
        <v>93</v>
      </c>
      <c r="E44" s="13" t="s">
        <v>48</v>
      </c>
    </row>
    <row r="45" customFormat="false" ht="23.85" hidden="false" customHeight="false" outlineLevel="0" collapsed="false">
      <c r="A45" s="13"/>
      <c r="B45" s="20" t="s">
        <v>94</v>
      </c>
      <c r="C45" s="13" t="s">
        <v>95</v>
      </c>
      <c r="D45" s="13" t="s">
        <v>67</v>
      </c>
      <c r="E45" s="13" t="s">
        <v>96</v>
      </c>
    </row>
    <row r="47" customFormat="false" ht="42" hidden="false" customHeight="true" outlineLevel="0" collapsed="false">
      <c r="A47" s="21" t="s">
        <v>97</v>
      </c>
      <c r="B47" s="21"/>
      <c r="C47" s="21"/>
      <c r="D47" s="21"/>
      <c r="E47" s="21"/>
    </row>
    <row r="49" customFormat="false" ht="15" hidden="false" customHeight="false" outlineLevel="0" collapsed="false">
      <c r="B49" s="10" t="s">
        <v>98</v>
      </c>
    </row>
    <row r="50" customFormat="false" ht="15" hidden="false" customHeight="false" outlineLevel="0" collapsed="false">
      <c r="B50" s="22" t="s">
        <v>99</v>
      </c>
      <c r="C50" s="23" t="s">
        <v>100</v>
      </c>
      <c r="D50" s="23"/>
      <c r="E50" s="23"/>
    </row>
    <row r="51" customFormat="false" ht="15" hidden="false" customHeight="false" outlineLevel="0" collapsed="false">
      <c r="B51" s="24" t="s">
        <v>101</v>
      </c>
      <c r="C51" s="23" t="s">
        <v>102</v>
      </c>
      <c r="D51" s="23"/>
      <c r="E51" s="23"/>
    </row>
    <row r="52" customFormat="false" ht="15" hidden="false" customHeight="false" outlineLevel="0" collapsed="false">
      <c r="B52" s="25" t="s">
        <v>103</v>
      </c>
      <c r="C52" s="23" t="s">
        <v>104</v>
      </c>
      <c r="D52" s="23"/>
      <c r="E52" s="23"/>
    </row>
    <row r="53" customFormat="false" ht="15" hidden="false" customHeight="false" outlineLevel="0" collapsed="false">
      <c r="B53" s="26" t="s">
        <v>105</v>
      </c>
      <c r="C53" s="23" t="s">
        <v>106</v>
      </c>
      <c r="D53" s="23"/>
      <c r="E53" s="23"/>
    </row>
    <row r="54" customFormat="false" ht="15" hidden="false" customHeight="false" outlineLevel="0" collapsed="false">
      <c r="B54" s="27" t="s">
        <v>107</v>
      </c>
      <c r="C54" s="23" t="s">
        <v>108</v>
      </c>
      <c r="D54" s="23"/>
      <c r="E54" s="23"/>
    </row>
  </sheetData>
  <mergeCells count="19">
    <mergeCell ref="A1:E1"/>
    <mergeCell ref="B3:B7"/>
    <mergeCell ref="C3:E3"/>
    <mergeCell ref="C4:E4"/>
    <mergeCell ref="C5:E5"/>
    <mergeCell ref="C6:E6"/>
    <mergeCell ref="C7:E7"/>
    <mergeCell ref="B8:E8"/>
    <mergeCell ref="C10:E10"/>
    <mergeCell ref="C11:E11"/>
    <mergeCell ref="C12:E12"/>
    <mergeCell ref="C13:E13"/>
    <mergeCell ref="A16:E16"/>
    <mergeCell ref="A47:E47"/>
    <mergeCell ref="C50:E50"/>
    <mergeCell ref="C51:E51"/>
    <mergeCell ref="C52:E52"/>
    <mergeCell ref="C53:E53"/>
    <mergeCell ref="C54:E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3" min="3" style="0" width="14"/>
    <col collapsed="false" customWidth="true" hidden="false" outlineLevel="0" max="4" min="4" style="0" width="12"/>
    <col collapsed="false" customWidth="true" hidden="false" outlineLevel="0" max="5" min="5" style="0" width="50"/>
    <col collapsed="false" customWidth="true" hidden="false" outlineLevel="0" max="6" min="6" style="0" width="16"/>
  </cols>
  <sheetData>
    <row r="1" customFormat="false" ht="25.5" hidden="false" customHeight="true" outlineLevel="0" collapsed="false">
      <c r="A1" s="1" t="s">
        <v>109</v>
      </c>
      <c r="B1" s="1"/>
      <c r="C1" s="1"/>
      <c r="D1" s="1"/>
      <c r="E1" s="1"/>
      <c r="F1" s="1"/>
    </row>
    <row r="3" customFormat="false" ht="19.5" hidden="false" customHeight="true" outlineLevel="0" collapsed="false">
      <c r="A3" s="28" t="s">
        <v>110</v>
      </c>
      <c r="B3" s="28"/>
      <c r="C3" s="28"/>
      <c r="D3" s="28"/>
      <c r="E3" s="28"/>
      <c r="F3" s="28"/>
    </row>
    <row r="4" customFormat="false" ht="30" hidden="false" customHeight="true" outlineLevel="0" collapsed="false">
      <c r="A4" s="12"/>
      <c r="B4" s="12" t="s">
        <v>111</v>
      </c>
      <c r="C4" s="12" t="s">
        <v>112</v>
      </c>
      <c r="D4" s="12" t="s">
        <v>113</v>
      </c>
      <c r="E4" s="12" t="s">
        <v>114</v>
      </c>
      <c r="F4" s="12"/>
    </row>
    <row r="5" customFormat="false" ht="15" hidden="false" customHeight="false" outlineLevel="0" collapsed="false">
      <c r="B5" s="27" t="s">
        <v>115</v>
      </c>
      <c r="C5" s="29" t="n">
        <f aca="false">COUNTA('9 Ilce Envanteri'!C3:C41)</f>
        <v>39</v>
      </c>
      <c r="D5" s="30" t="n">
        <v>39</v>
      </c>
      <c r="E5" s="13" t="s">
        <v>116</v>
      </c>
      <c r="F5" s="31"/>
    </row>
    <row r="6" customFormat="false" ht="15" hidden="false" customHeight="false" outlineLevel="0" collapsed="false">
      <c r="B6" s="27" t="s">
        <v>104</v>
      </c>
      <c r="C6" s="29" t="n">
        <f aca="false">COUNTIF('9 Ilce Envanteri'!D3:D41,"MEVCUT")</f>
        <v>9</v>
      </c>
      <c r="D6" s="30"/>
      <c r="E6" s="13" t="s">
        <v>117</v>
      </c>
      <c r="F6" s="31"/>
    </row>
    <row r="7" customFormat="false" ht="15" hidden="false" customHeight="false" outlineLevel="0" collapsed="false">
      <c r="B7" s="27" t="s">
        <v>118</v>
      </c>
      <c r="C7" s="29" t="n">
        <f aca="false">COUNTIF('9 Ilce Envanteri'!D3:D41,"HEDEF")</f>
        <v>30</v>
      </c>
      <c r="D7" s="30"/>
      <c r="E7" s="13" t="s">
        <v>119</v>
      </c>
      <c r="F7" s="31"/>
    </row>
    <row r="8" customFormat="false" ht="15" hidden="false" customHeight="false" outlineLevel="0" collapsed="false">
      <c r="B8" s="27" t="s">
        <v>120</v>
      </c>
      <c r="C8" s="32" t="n">
        <f aca="false">IFERROR(COUNTIF('9 Ilce Envanteri'!D3:D41,"MEVCUT")/COUNTA('9 Ilce Envanteri'!C3:C41),0)</f>
        <v>0.230769230769231</v>
      </c>
      <c r="D8" s="33" t="n">
        <v>0.5</v>
      </c>
      <c r="E8" s="13" t="s">
        <v>121</v>
      </c>
      <c r="F8" s="31"/>
    </row>
    <row r="9" customFormat="false" ht="15" hidden="false" customHeight="false" outlineLevel="0" collapsed="false">
      <c r="B9" s="27" t="s">
        <v>122</v>
      </c>
      <c r="C9" s="29" t="n">
        <f aca="false">COUNTIFS('9 Ilce Envanteri'!D3:D41,"HEDEF",'9 Ilce Envanteri'!G3:G41,1)</f>
        <v>15</v>
      </c>
      <c r="D9" s="30"/>
      <c r="E9" s="13" t="s">
        <v>123</v>
      </c>
      <c r="F9" s="31"/>
    </row>
    <row r="10" customFormat="false" ht="15" hidden="false" customHeight="false" outlineLevel="0" collapsed="false">
      <c r="B10" s="27" t="s">
        <v>124</v>
      </c>
      <c r="C10" s="29" t="n">
        <f aca="false">COUNTIF('9 Ilce Envanteri'!F3:F41,"KRİTİK")+COUNTIF('9 Ilce Envanteri'!F3:F41,"Yüksek")</f>
        <v>5</v>
      </c>
      <c r="D10" s="30" t="n">
        <v>0</v>
      </c>
      <c r="E10" s="13" t="s">
        <v>125</v>
      </c>
      <c r="F10" s="31"/>
    </row>
    <row r="11" customFormat="false" ht="15" hidden="false" customHeight="false" outlineLevel="0" collapsed="false">
      <c r="B11" s="27" t="s">
        <v>126</v>
      </c>
      <c r="C11" s="29" t="n">
        <f aca="false">COUNTA('7 Bolge Yapisi'!B4:B7)</f>
        <v>4</v>
      </c>
      <c r="D11" s="30" t="n">
        <v>4</v>
      </c>
      <c r="E11" s="13" t="s">
        <v>127</v>
      </c>
      <c r="F11" s="31"/>
    </row>
    <row r="12" customFormat="false" ht="15" hidden="false" customHeight="false" outlineLevel="0" collapsed="false">
      <c r="B12" s="27" t="s">
        <v>128</v>
      </c>
      <c r="C12" s="29" t="n">
        <f aca="false">COUNTIF('7 Bolge Yapisi'!D4:D7,"BOŞ")</f>
        <v>2</v>
      </c>
      <c r="D12" s="30" t="n">
        <v>0</v>
      </c>
      <c r="E12" s="13" t="s">
        <v>129</v>
      </c>
      <c r="F12" s="31"/>
    </row>
    <row r="13" customFormat="false" ht="15" hidden="false" customHeight="false" outlineLevel="0" collapsed="false">
      <c r="B13" s="27" t="s">
        <v>130</v>
      </c>
      <c r="C13" s="29" t="n">
        <f aca="false">COUNTA('11 Aday Havuzu'!B6:B25)</f>
        <v>0</v>
      </c>
      <c r="D13" s="30" t="n">
        <v>30</v>
      </c>
      <c r="E13" s="13" t="s">
        <v>131</v>
      </c>
      <c r="F13" s="31"/>
    </row>
    <row r="14" customFormat="false" ht="15" hidden="false" customHeight="false" outlineLevel="0" collapsed="false">
      <c r="B14" s="27" t="s">
        <v>132</v>
      </c>
      <c r="C14" s="29" t="n">
        <f aca="false">COUNTIF('11 Aday Havuzu'!R6:R25,"&gt;=70")</f>
        <v>0</v>
      </c>
      <c r="D14" s="30"/>
      <c r="E14" s="13" t="s">
        <v>133</v>
      </c>
      <c r="F14" s="31"/>
    </row>
    <row r="15" customFormat="false" ht="15" hidden="false" customHeight="false" outlineLevel="0" collapsed="false">
      <c r="B15" s="27" t="s">
        <v>134</v>
      </c>
      <c r="C15" s="29" t="n">
        <f aca="false">COUNTIF('5 Ekip Degerlendirme'!G4:G13,"Aktif")</f>
        <v>4</v>
      </c>
      <c r="D15" s="30" t="n">
        <v>7</v>
      </c>
      <c r="E15" s="13" t="s">
        <v>135</v>
      </c>
      <c r="F15" s="31"/>
    </row>
    <row r="17" customFormat="false" ht="19.5" hidden="false" customHeight="true" outlineLevel="0" collapsed="false">
      <c r="A17" s="28" t="s">
        <v>136</v>
      </c>
      <c r="B17" s="28"/>
      <c r="C17" s="28"/>
      <c r="D17" s="28"/>
      <c r="E17" s="28"/>
      <c r="F17" s="28"/>
    </row>
    <row r="18" customFormat="false" ht="30" hidden="false" customHeight="true" outlineLevel="0" collapsed="false">
      <c r="A18" s="12"/>
      <c r="B18" s="12" t="s">
        <v>19</v>
      </c>
      <c r="C18" s="12" t="s">
        <v>137</v>
      </c>
      <c r="D18" s="12" t="s">
        <v>138</v>
      </c>
      <c r="E18" s="12" t="s">
        <v>139</v>
      </c>
      <c r="F18" s="12" t="s">
        <v>22</v>
      </c>
    </row>
    <row r="19" customFormat="false" ht="15" hidden="false" customHeight="false" outlineLevel="0" collapsed="false">
      <c r="A19" s="13"/>
      <c r="B19" s="14" t="s">
        <v>23</v>
      </c>
      <c r="C19" s="34" t="n">
        <v>10</v>
      </c>
      <c r="D19" s="34" t="n">
        <v>1</v>
      </c>
      <c r="E19" s="35" t="n">
        <f aca="false">IFERROR(D19/C19,0)</f>
        <v>0.1</v>
      </c>
      <c r="F19" s="15" t="s">
        <v>26</v>
      </c>
    </row>
    <row r="20" customFormat="false" ht="15" hidden="false" customHeight="false" outlineLevel="0" collapsed="false">
      <c r="A20" s="13"/>
      <c r="B20" s="16" t="s">
        <v>27</v>
      </c>
      <c r="C20" s="34" t="n">
        <v>15</v>
      </c>
      <c r="D20" s="34" t="n">
        <v>3</v>
      </c>
      <c r="E20" s="35" t="n">
        <f aca="false">IFERROR(D20/C20,0)</f>
        <v>0.2</v>
      </c>
      <c r="F20" s="15" t="s">
        <v>26</v>
      </c>
    </row>
    <row r="21" customFormat="false" ht="15" hidden="false" customHeight="false" outlineLevel="0" collapsed="false">
      <c r="A21" s="13"/>
      <c r="B21" s="17" t="s">
        <v>29</v>
      </c>
      <c r="C21" s="34" t="n">
        <v>6</v>
      </c>
      <c r="D21" s="34" t="n">
        <v>2</v>
      </c>
      <c r="E21" s="35" t="n">
        <f aca="false">IFERROR(D21/C21,0)</f>
        <v>0.333333333333333</v>
      </c>
      <c r="F21" s="18" t="s">
        <v>32</v>
      </c>
    </row>
    <row r="22" customFormat="false" ht="15" hidden="false" customHeight="false" outlineLevel="0" collapsed="false">
      <c r="A22" s="13"/>
      <c r="B22" s="19" t="s">
        <v>33</v>
      </c>
      <c r="C22" s="34" t="n">
        <v>8</v>
      </c>
      <c r="D22" s="34" t="n">
        <v>3</v>
      </c>
      <c r="E22" s="35" t="n">
        <f aca="false">IFERROR(D22/C22,0)</f>
        <v>0.375</v>
      </c>
      <c r="F22" s="18" t="s">
        <v>35</v>
      </c>
    </row>
    <row r="23" customFormat="false" ht="15" hidden="false" customHeight="false" outlineLevel="0" collapsed="false">
      <c r="A23" s="13"/>
      <c r="B23" s="36" t="s">
        <v>140</v>
      </c>
      <c r="C23" s="37" t="n">
        <f aca="false">SUM(C19:C22)</f>
        <v>39</v>
      </c>
      <c r="D23" s="37" t="n">
        <f aca="false">SUM(D19:D22)</f>
        <v>9</v>
      </c>
      <c r="E23" s="38" t="n">
        <f aca="false">IFERROR(D23/C23,0)</f>
        <v>0.230769230769231</v>
      </c>
      <c r="F23" s="13"/>
    </row>
    <row r="25" customFormat="false" ht="19.5" hidden="false" customHeight="true" outlineLevel="0" collapsed="false">
      <c r="A25" s="28" t="s">
        <v>141</v>
      </c>
      <c r="B25" s="28"/>
      <c r="C25" s="28"/>
      <c r="D25" s="28"/>
      <c r="E25" s="28"/>
      <c r="F25" s="28"/>
    </row>
    <row r="26" customFormat="false" ht="30" hidden="false" customHeight="true" outlineLevel="0" collapsed="false">
      <c r="A26" s="12" t="s">
        <v>142</v>
      </c>
      <c r="B26" s="12" t="s">
        <v>143</v>
      </c>
      <c r="C26" s="12" t="s">
        <v>144</v>
      </c>
      <c r="D26" s="12" t="s">
        <v>145</v>
      </c>
      <c r="E26" s="12" t="s">
        <v>146</v>
      </c>
      <c r="F26" s="12"/>
    </row>
    <row r="27" customFormat="false" ht="15" hidden="false" customHeight="false" outlineLevel="0" collapsed="false">
      <c r="A27" s="13" t="n">
        <v>1</v>
      </c>
      <c r="B27" s="13" t="s">
        <v>147</v>
      </c>
      <c r="C27" s="39" t="s">
        <v>148</v>
      </c>
      <c r="D27" s="39" t="s">
        <v>149</v>
      </c>
      <c r="E27" s="13" t="s">
        <v>150</v>
      </c>
      <c r="F27" s="13"/>
    </row>
    <row r="28" customFormat="false" ht="15" hidden="false" customHeight="false" outlineLevel="0" collapsed="false">
      <c r="A28" s="13" t="n">
        <v>2</v>
      </c>
      <c r="B28" s="13" t="s">
        <v>151</v>
      </c>
      <c r="C28" s="39" t="s">
        <v>152</v>
      </c>
      <c r="D28" s="39" t="s">
        <v>149</v>
      </c>
      <c r="E28" s="13" t="s">
        <v>153</v>
      </c>
      <c r="F28" s="13"/>
    </row>
    <row r="29" customFormat="false" ht="15" hidden="false" customHeight="false" outlineLevel="0" collapsed="false">
      <c r="A29" s="13" t="n">
        <v>3</v>
      </c>
      <c r="B29" s="13" t="s">
        <v>154</v>
      </c>
      <c r="C29" s="39" t="s">
        <v>148</v>
      </c>
      <c r="D29" s="39" t="s">
        <v>149</v>
      </c>
      <c r="E29" s="13" t="s">
        <v>155</v>
      </c>
      <c r="F29" s="13"/>
    </row>
    <row r="30" customFormat="false" ht="15" hidden="false" customHeight="false" outlineLevel="0" collapsed="false">
      <c r="A30" s="13" t="n">
        <v>4</v>
      </c>
      <c r="B30" s="13" t="s">
        <v>156</v>
      </c>
      <c r="C30" s="39" t="s">
        <v>157</v>
      </c>
      <c r="D30" s="39" t="s">
        <v>158</v>
      </c>
      <c r="E30" s="13" t="s">
        <v>159</v>
      </c>
      <c r="F30" s="13"/>
    </row>
    <row r="31" customFormat="false" ht="15" hidden="false" customHeight="false" outlineLevel="0" collapsed="false">
      <c r="A31" s="13" t="n">
        <v>5</v>
      </c>
      <c r="B31" s="13" t="s">
        <v>160</v>
      </c>
      <c r="C31" s="39" t="s">
        <v>157</v>
      </c>
      <c r="D31" s="39" t="s">
        <v>161</v>
      </c>
      <c r="E31" s="13" t="s">
        <v>162</v>
      </c>
      <c r="F31" s="13"/>
    </row>
  </sheetData>
  <mergeCells count="4">
    <mergeCell ref="A1:F1"/>
    <mergeCell ref="A3:F3"/>
    <mergeCell ref="A17:F17"/>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2"/>
    <col collapsed="false" customWidth="true" hidden="false" outlineLevel="0" max="4" min="4" style="0" width="54"/>
    <col collapsed="false" customWidth="true" hidden="false" outlineLevel="0" max="5" min="5" style="0" width="32"/>
    <col collapsed="false" customWidth="true" hidden="false" outlineLevel="0" max="6" min="6" style="0" width="40"/>
  </cols>
  <sheetData>
    <row r="1" customFormat="false" ht="25.5" hidden="false" customHeight="true" outlineLevel="0" collapsed="false">
      <c r="A1" s="1" t="s">
        <v>163</v>
      </c>
      <c r="B1" s="1"/>
      <c r="C1" s="1"/>
      <c r="D1" s="1"/>
      <c r="E1" s="1"/>
      <c r="F1" s="1"/>
    </row>
    <row r="2" customFormat="false" ht="30" hidden="false" customHeight="true" outlineLevel="0" collapsed="false">
      <c r="A2" s="12" t="s">
        <v>164</v>
      </c>
      <c r="B2" s="12" t="s">
        <v>165</v>
      </c>
      <c r="C2" s="12" t="s">
        <v>166</v>
      </c>
      <c r="D2" s="12" t="s">
        <v>167</v>
      </c>
      <c r="E2" s="12" t="s">
        <v>168</v>
      </c>
      <c r="F2" s="12" t="s">
        <v>169</v>
      </c>
    </row>
    <row r="3" customFormat="false" ht="129.75" hidden="false" customHeight="true" outlineLevel="0" collapsed="false">
      <c r="A3" s="40" t="s">
        <v>170</v>
      </c>
      <c r="B3" s="40" t="s">
        <v>171</v>
      </c>
      <c r="C3" s="13" t="s">
        <v>172</v>
      </c>
      <c r="D3" s="13" t="s">
        <v>173</v>
      </c>
      <c r="E3" s="13" t="s">
        <v>174</v>
      </c>
      <c r="F3" s="13" t="s">
        <v>175</v>
      </c>
    </row>
    <row r="4" customFormat="false" ht="129.75" hidden="false" customHeight="true" outlineLevel="0" collapsed="false">
      <c r="A4" s="40" t="s">
        <v>176</v>
      </c>
      <c r="B4" s="40" t="s">
        <v>177</v>
      </c>
      <c r="C4" s="13" t="s">
        <v>178</v>
      </c>
      <c r="D4" s="13" t="s">
        <v>179</v>
      </c>
      <c r="E4" s="13" t="s">
        <v>180</v>
      </c>
      <c r="F4" s="13" t="s">
        <v>181</v>
      </c>
    </row>
    <row r="5" customFormat="false" ht="129.75" hidden="false" customHeight="true" outlineLevel="0" collapsed="false">
      <c r="A5" s="40" t="s">
        <v>182</v>
      </c>
      <c r="B5" s="40" t="s">
        <v>183</v>
      </c>
      <c r="C5" s="13" t="s">
        <v>184</v>
      </c>
      <c r="D5" s="13" t="s">
        <v>185</v>
      </c>
      <c r="E5" s="13" t="s">
        <v>186</v>
      </c>
      <c r="F5" s="13" t="s">
        <v>187</v>
      </c>
    </row>
    <row r="7" customFormat="false" ht="60" hidden="false" customHeight="true" outlineLevel="0" collapsed="false">
      <c r="A7" s="11" t="s">
        <v>188</v>
      </c>
      <c r="B7" s="11"/>
      <c r="C7" s="11"/>
      <c r="D7" s="11"/>
      <c r="E7" s="11"/>
      <c r="F7" s="11"/>
    </row>
  </sheetData>
  <mergeCells count="2">
    <mergeCell ref="A1:F1"/>
    <mergeCell ref="A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62"/>
    <col collapsed="false" customWidth="true" hidden="false" outlineLevel="0" max="5" min="4" style="0" width="24"/>
  </cols>
  <sheetData>
    <row r="1" customFormat="false" ht="25.5" hidden="false" customHeight="true" outlineLevel="0" collapsed="false">
      <c r="A1" s="1" t="s">
        <v>189</v>
      </c>
      <c r="B1" s="1"/>
      <c r="C1" s="1"/>
      <c r="D1" s="1"/>
      <c r="E1" s="1"/>
    </row>
    <row r="3" customFormat="false" ht="19.5" hidden="false" customHeight="true" outlineLevel="0" collapsed="false">
      <c r="A3" s="28" t="s">
        <v>190</v>
      </c>
      <c r="B3" s="28"/>
      <c r="C3" s="28"/>
      <c r="D3" s="28"/>
      <c r="E3" s="28"/>
    </row>
    <row r="4" customFormat="false" ht="51.75" hidden="false" customHeight="true" outlineLevel="0" collapsed="false">
      <c r="A4" s="41" t="s">
        <v>191</v>
      </c>
      <c r="B4" s="41"/>
      <c r="C4" s="41"/>
      <c r="D4" s="41"/>
      <c r="E4" s="41"/>
    </row>
    <row r="6" customFormat="false" ht="19.5" hidden="false" customHeight="true" outlineLevel="0" collapsed="false">
      <c r="A6" s="28" t="s">
        <v>192</v>
      </c>
      <c r="B6" s="28"/>
      <c r="C6" s="28"/>
      <c r="D6" s="28"/>
      <c r="E6" s="28"/>
    </row>
    <row r="7" customFormat="false" ht="30" hidden="false" customHeight="true" outlineLevel="0" collapsed="false">
      <c r="A7" s="12" t="s">
        <v>142</v>
      </c>
      <c r="B7" s="12" t="s">
        <v>113</v>
      </c>
      <c r="C7" s="12" t="s">
        <v>193</v>
      </c>
      <c r="D7" s="12" t="s">
        <v>144</v>
      </c>
      <c r="E7" s="12" t="s">
        <v>8</v>
      </c>
    </row>
    <row r="8" customFormat="false" ht="23.85" hidden="false" customHeight="false" outlineLevel="0" collapsed="false">
      <c r="A8" s="13" t="n">
        <v>1</v>
      </c>
      <c r="B8" s="13" t="s">
        <v>194</v>
      </c>
      <c r="C8" s="13" t="s">
        <v>195</v>
      </c>
      <c r="D8" s="13" t="s">
        <v>148</v>
      </c>
      <c r="E8" s="13" t="s">
        <v>50</v>
      </c>
    </row>
    <row r="9" customFormat="false" ht="15" hidden="false" customHeight="false" outlineLevel="0" collapsed="false">
      <c r="A9" s="13" t="n">
        <v>2</v>
      </c>
      <c r="B9" s="13" t="s">
        <v>196</v>
      </c>
      <c r="C9" s="13" t="s">
        <v>197</v>
      </c>
      <c r="D9" s="13" t="s">
        <v>148</v>
      </c>
      <c r="E9" s="13" t="s">
        <v>198</v>
      </c>
    </row>
    <row r="10" customFormat="false" ht="23.85" hidden="false" customHeight="false" outlineLevel="0" collapsed="false">
      <c r="A10" s="13" t="n">
        <v>3</v>
      </c>
      <c r="B10" s="13" t="s">
        <v>199</v>
      </c>
      <c r="C10" s="13" t="s">
        <v>200</v>
      </c>
      <c r="D10" s="13" t="s">
        <v>201</v>
      </c>
      <c r="E10" s="13" t="s">
        <v>202</v>
      </c>
    </row>
    <row r="11" customFormat="false" ht="23.85" hidden="false" customHeight="false" outlineLevel="0" collapsed="false">
      <c r="A11" s="13" t="n">
        <v>4</v>
      </c>
      <c r="B11" s="13" t="s">
        <v>203</v>
      </c>
      <c r="C11" s="13" t="s">
        <v>204</v>
      </c>
      <c r="D11" s="13" t="s">
        <v>205</v>
      </c>
      <c r="E11" s="13" t="s">
        <v>206</v>
      </c>
    </row>
    <row r="12" customFormat="false" ht="15" hidden="false" customHeight="false" outlineLevel="0" collapsed="false">
      <c r="A12" s="13" t="n">
        <v>5</v>
      </c>
      <c r="B12" s="13" t="s">
        <v>207</v>
      </c>
      <c r="C12" s="13" t="s">
        <v>208</v>
      </c>
      <c r="D12" s="13" t="s">
        <v>148</v>
      </c>
      <c r="E12" s="13" t="s">
        <v>50</v>
      </c>
    </row>
    <row r="13" customFormat="false" ht="23.85" hidden="false" customHeight="false" outlineLevel="0" collapsed="false">
      <c r="A13" s="13" t="n">
        <v>6</v>
      </c>
      <c r="B13" s="13" t="s">
        <v>209</v>
      </c>
      <c r="C13" s="13" t="s">
        <v>210</v>
      </c>
      <c r="D13" s="13" t="s">
        <v>201</v>
      </c>
      <c r="E13" s="13" t="s">
        <v>211</v>
      </c>
    </row>
    <row r="14" customFormat="false" ht="15" hidden="false" customHeight="false" outlineLevel="0" collapsed="false">
      <c r="A14" s="13" t="n">
        <v>7</v>
      </c>
      <c r="B14" s="13" t="s">
        <v>212</v>
      </c>
      <c r="C14" s="13" t="s">
        <v>213</v>
      </c>
      <c r="D14" s="13" t="s">
        <v>201</v>
      </c>
      <c r="E14" s="13" t="s">
        <v>214</v>
      </c>
    </row>
    <row r="15" customFormat="false" ht="15" hidden="false" customHeight="false" outlineLevel="0" collapsed="false">
      <c r="A15" s="13" t="n">
        <v>8</v>
      </c>
      <c r="B15" s="13" t="s">
        <v>215</v>
      </c>
      <c r="C15" s="13" t="s">
        <v>216</v>
      </c>
      <c r="D15" s="13" t="s">
        <v>217</v>
      </c>
      <c r="E15" s="13" t="s">
        <v>214</v>
      </c>
    </row>
    <row r="16" customFormat="false" ht="23.85" hidden="false" customHeight="false" outlineLevel="0" collapsed="false">
      <c r="A16" s="13" t="n">
        <v>9</v>
      </c>
      <c r="B16" s="13" t="s">
        <v>218</v>
      </c>
      <c r="C16" s="13" t="s">
        <v>219</v>
      </c>
      <c r="D16" s="13" t="s">
        <v>148</v>
      </c>
      <c r="E16" s="13" t="s">
        <v>220</v>
      </c>
    </row>
    <row r="17" customFormat="false" ht="15" hidden="false" customHeight="false" outlineLevel="0" collapsed="false">
      <c r="A17" s="13" t="n">
        <v>10</v>
      </c>
      <c r="B17" s="13" t="s">
        <v>221</v>
      </c>
      <c r="C17" s="13" t="s">
        <v>222</v>
      </c>
      <c r="D17" s="13" t="s">
        <v>223</v>
      </c>
      <c r="E17" s="13" t="s">
        <v>224</v>
      </c>
    </row>
    <row r="18" customFormat="false" ht="15" hidden="false" customHeight="false" outlineLevel="0" collapsed="false">
      <c r="A18" s="13" t="n">
        <v>11</v>
      </c>
      <c r="B18" s="13" t="s">
        <v>225</v>
      </c>
      <c r="C18" s="13" t="s">
        <v>226</v>
      </c>
      <c r="D18" s="13" t="s">
        <v>201</v>
      </c>
      <c r="E18" s="13" t="s">
        <v>227</v>
      </c>
    </row>
    <row r="20" customFormat="false" ht="19.5" hidden="false" customHeight="true" outlineLevel="0" collapsed="false">
      <c r="A20" s="28" t="s">
        <v>228</v>
      </c>
      <c r="B20" s="28"/>
      <c r="C20" s="28"/>
      <c r="D20" s="28"/>
      <c r="E20" s="28"/>
    </row>
    <row r="21" customFormat="false" ht="30" hidden="false" customHeight="true" outlineLevel="0" collapsed="false">
      <c r="A21" s="12" t="s">
        <v>142</v>
      </c>
      <c r="B21" s="12" t="s">
        <v>143</v>
      </c>
      <c r="C21" s="12" t="s">
        <v>229</v>
      </c>
      <c r="D21" s="12" t="s">
        <v>230</v>
      </c>
      <c r="E21" s="12" t="s">
        <v>231</v>
      </c>
    </row>
    <row r="22" customFormat="false" ht="15" hidden="false" customHeight="false" outlineLevel="0" collapsed="false">
      <c r="A22" s="13" t="n">
        <v>1</v>
      </c>
      <c r="B22" s="13" t="s">
        <v>232</v>
      </c>
      <c r="C22" s="13" t="s">
        <v>233</v>
      </c>
      <c r="D22" s="13" t="s">
        <v>234</v>
      </c>
      <c r="E22" s="13" t="s">
        <v>235</v>
      </c>
    </row>
    <row r="23" customFormat="false" ht="15" hidden="false" customHeight="false" outlineLevel="0" collapsed="false">
      <c r="A23" s="13" t="n">
        <v>2</v>
      </c>
      <c r="B23" s="13" t="s">
        <v>236</v>
      </c>
      <c r="C23" s="13" t="s">
        <v>237</v>
      </c>
      <c r="D23" s="13" t="s">
        <v>238</v>
      </c>
      <c r="E23" s="13" t="s">
        <v>239</v>
      </c>
    </row>
    <row r="24" customFormat="false" ht="15" hidden="false" customHeight="false" outlineLevel="0" collapsed="false">
      <c r="A24" s="13" t="n">
        <v>3</v>
      </c>
      <c r="B24" s="13" t="s">
        <v>240</v>
      </c>
      <c r="C24" s="13" t="s">
        <v>241</v>
      </c>
      <c r="D24" s="13" t="s">
        <v>242</v>
      </c>
      <c r="E24" s="13" t="s">
        <v>243</v>
      </c>
    </row>
    <row r="25" customFormat="false" ht="15" hidden="false" customHeight="false" outlineLevel="0" collapsed="false">
      <c r="A25" s="13" t="n">
        <v>4</v>
      </c>
      <c r="B25" s="13" t="s">
        <v>244</v>
      </c>
      <c r="C25" s="13" t="s">
        <v>245</v>
      </c>
      <c r="D25" s="13" t="s">
        <v>246</v>
      </c>
      <c r="E25" s="13" t="s">
        <v>247</v>
      </c>
    </row>
    <row r="26" customFormat="false" ht="15" hidden="false" customHeight="false" outlineLevel="0" collapsed="false">
      <c r="A26" s="13" t="n">
        <v>5</v>
      </c>
      <c r="B26" s="13" t="s">
        <v>248</v>
      </c>
      <c r="C26" s="13" t="s">
        <v>249</v>
      </c>
      <c r="D26" s="13" t="s">
        <v>250</v>
      </c>
      <c r="E26" s="13" t="s">
        <v>251</v>
      </c>
    </row>
    <row r="27" customFormat="false" ht="15" hidden="false" customHeight="false" outlineLevel="0" collapsed="false">
      <c r="A27" s="13" t="n">
        <v>6</v>
      </c>
      <c r="B27" s="13" t="s">
        <v>252</v>
      </c>
      <c r="C27" s="13" t="s">
        <v>253</v>
      </c>
      <c r="D27" s="13" t="s">
        <v>254</v>
      </c>
      <c r="E27" s="13" t="s">
        <v>255</v>
      </c>
    </row>
    <row r="29" customFormat="false" ht="19.5" hidden="false" customHeight="true" outlineLevel="0" collapsed="false">
      <c r="A29" s="28" t="s">
        <v>256</v>
      </c>
      <c r="B29" s="28"/>
      <c r="C29" s="28"/>
      <c r="D29" s="28"/>
      <c r="E29" s="28"/>
    </row>
    <row r="30" customFormat="false" ht="30" hidden="false" customHeight="true" outlineLevel="0" collapsed="false">
      <c r="A30" s="12" t="s">
        <v>142</v>
      </c>
      <c r="B30" s="12" t="s">
        <v>143</v>
      </c>
      <c r="C30" s="12" t="s">
        <v>229</v>
      </c>
      <c r="D30" s="12" t="s">
        <v>257</v>
      </c>
      <c r="E30" s="12" t="s">
        <v>231</v>
      </c>
    </row>
    <row r="31" customFormat="false" ht="15" hidden="false" customHeight="false" outlineLevel="0" collapsed="false">
      <c r="A31" s="13" t="n">
        <v>1</v>
      </c>
      <c r="B31" s="13" t="s">
        <v>258</v>
      </c>
      <c r="C31" s="13" t="s">
        <v>259</v>
      </c>
      <c r="D31" s="13" t="s">
        <v>260</v>
      </c>
      <c r="E31" s="13" t="s">
        <v>261</v>
      </c>
    </row>
    <row r="32" customFormat="false" ht="15" hidden="false" customHeight="false" outlineLevel="0" collapsed="false">
      <c r="A32" s="13" t="n">
        <v>2</v>
      </c>
      <c r="B32" s="13" t="s">
        <v>262</v>
      </c>
      <c r="C32" s="13" t="s">
        <v>263</v>
      </c>
      <c r="D32" s="13" t="s">
        <v>264</v>
      </c>
      <c r="E32" s="13" t="s">
        <v>265</v>
      </c>
    </row>
    <row r="33" customFormat="false" ht="15" hidden="false" customHeight="false" outlineLevel="0" collapsed="false">
      <c r="A33" s="13" t="n">
        <v>3</v>
      </c>
      <c r="B33" s="13" t="s">
        <v>266</v>
      </c>
      <c r="C33" s="13" t="s">
        <v>267</v>
      </c>
      <c r="D33" s="13" t="s">
        <v>268</v>
      </c>
      <c r="E33" s="13" t="s">
        <v>269</v>
      </c>
    </row>
    <row r="34" customFormat="false" ht="15" hidden="false" customHeight="false" outlineLevel="0" collapsed="false">
      <c r="A34" s="13" t="n">
        <v>4</v>
      </c>
      <c r="B34" s="13" t="s">
        <v>270</v>
      </c>
      <c r="C34" s="13" t="s">
        <v>271</v>
      </c>
      <c r="D34" s="13" t="s">
        <v>272</v>
      </c>
      <c r="E34" s="13" t="s">
        <v>273</v>
      </c>
    </row>
    <row r="35" customFormat="false" ht="15" hidden="false" customHeight="false" outlineLevel="0" collapsed="false">
      <c r="A35" s="13" t="n">
        <v>5</v>
      </c>
      <c r="B35" s="13" t="s">
        <v>274</v>
      </c>
      <c r="C35" s="13" t="s">
        <v>275</v>
      </c>
      <c r="D35" s="13" t="s">
        <v>276</v>
      </c>
      <c r="E35" s="13" t="s">
        <v>277</v>
      </c>
    </row>
    <row r="36" customFormat="false" ht="15" hidden="false" customHeight="false" outlineLevel="0" collapsed="false">
      <c r="A36" s="13" t="n">
        <v>6</v>
      </c>
      <c r="B36" s="13" t="s">
        <v>278</v>
      </c>
      <c r="C36" s="13" t="s">
        <v>279</v>
      </c>
      <c r="D36" s="13" t="s">
        <v>280</v>
      </c>
      <c r="E36" s="13" t="s">
        <v>281</v>
      </c>
    </row>
    <row r="37" customFormat="false" ht="15" hidden="false" customHeight="false" outlineLevel="0" collapsed="false">
      <c r="A37" s="13" t="n">
        <v>7</v>
      </c>
      <c r="B37" s="13" t="s">
        <v>282</v>
      </c>
      <c r="C37" s="13" t="s">
        <v>283</v>
      </c>
      <c r="D37" s="13" t="s">
        <v>280</v>
      </c>
      <c r="E37" s="13" t="s">
        <v>284</v>
      </c>
    </row>
    <row r="38" customFormat="false" ht="15" hidden="false" customHeight="false" outlineLevel="0" collapsed="false">
      <c r="A38" s="13" t="n">
        <v>8</v>
      </c>
      <c r="B38" s="13" t="s">
        <v>285</v>
      </c>
      <c r="C38" s="13" t="s">
        <v>286</v>
      </c>
      <c r="D38" s="13" t="s">
        <v>260</v>
      </c>
      <c r="E38" s="13" t="s">
        <v>287</v>
      </c>
    </row>
    <row r="40" customFormat="false" ht="19.5" hidden="false" customHeight="true" outlineLevel="0" collapsed="false">
      <c r="A40" s="28" t="s">
        <v>288</v>
      </c>
      <c r="B40" s="28"/>
      <c r="C40" s="28"/>
      <c r="D40" s="28"/>
      <c r="E40" s="28"/>
    </row>
    <row r="41" customFormat="false" ht="30" hidden="false" customHeight="true" outlineLevel="0" collapsed="false">
      <c r="A41" s="12" t="s">
        <v>142</v>
      </c>
      <c r="B41" s="12" t="s">
        <v>289</v>
      </c>
      <c r="C41" s="12" t="s">
        <v>290</v>
      </c>
      <c r="D41" s="12" t="s">
        <v>291</v>
      </c>
      <c r="E41" s="12" t="s">
        <v>8</v>
      </c>
    </row>
    <row r="42" customFormat="false" ht="15" hidden="false" customHeight="false" outlineLevel="0" collapsed="false">
      <c r="A42" s="13" t="n">
        <v>1</v>
      </c>
      <c r="B42" s="13" t="s">
        <v>292</v>
      </c>
      <c r="C42" s="13" t="s">
        <v>293</v>
      </c>
      <c r="D42" s="13" t="s">
        <v>294</v>
      </c>
      <c r="E42" s="13" t="s">
        <v>214</v>
      </c>
    </row>
    <row r="43" customFormat="false" ht="15" hidden="false" customHeight="false" outlineLevel="0" collapsed="false">
      <c r="A43" s="13" t="n">
        <v>2</v>
      </c>
      <c r="B43" s="13" t="s">
        <v>221</v>
      </c>
      <c r="C43" s="13" t="s">
        <v>295</v>
      </c>
      <c r="D43" s="13" t="s">
        <v>296</v>
      </c>
      <c r="E43" s="13" t="s">
        <v>297</v>
      </c>
    </row>
    <row r="44" customFormat="false" ht="15" hidden="false" customHeight="false" outlineLevel="0" collapsed="false">
      <c r="A44" s="13" t="n">
        <v>3</v>
      </c>
      <c r="B44" s="13" t="s">
        <v>298</v>
      </c>
      <c r="C44" s="13" t="s">
        <v>299</v>
      </c>
      <c r="D44" s="13" t="s">
        <v>300</v>
      </c>
      <c r="E44" s="13" t="s">
        <v>297</v>
      </c>
    </row>
    <row r="45" customFormat="false" ht="15" hidden="false" customHeight="false" outlineLevel="0" collapsed="false">
      <c r="A45" s="13" t="n">
        <v>4</v>
      </c>
      <c r="B45" s="13" t="s">
        <v>301</v>
      </c>
      <c r="C45" s="13" t="s">
        <v>302</v>
      </c>
      <c r="D45" s="13" t="s">
        <v>303</v>
      </c>
      <c r="E45" s="13" t="s">
        <v>304</v>
      </c>
    </row>
    <row r="46" customFormat="false" ht="15" hidden="false" customHeight="false" outlineLevel="0" collapsed="false">
      <c r="A46" s="13" t="n">
        <v>5</v>
      </c>
      <c r="B46" s="13" t="s">
        <v>305</v>
      </c>
      <c r="C46" s="13" t="s">
        <v>306</v>
      </c>
      <c r="D46" s="13" t="s">
        <v>307</v>
      </c>
      <c r="E46" s="13" t="s">
        <v>308</v>
      </c>
    </row>
    <row r="47" customFormat="false" ht="15" hidden="false" customHeight="false" outlineLevel="0" collapsed="false">
      <c r="A47" s="13" t="n">
        <v>6</v>
      </c>
      <c r="B47" s="13" t="s">
        <v>309</v>
      </c>
      <c r="C47" s="13" t="s">
        <v>310</v>
      </c>
      <c r="D47" s="13" t="s">
        <v>311</v>
      </c>
      <c r="E47" s="13" t="s">
        <v>227</v>
      </c>
    </row>
    <row r="48" customFormat="false" ht="15" hidden="false" customHeight="false" outlineLevel="0" collapsed="false">
      <c r="A48" s="13" t="n">
        <v>7</v>
      </c>
      <c r="B48" s="13" t="s">
        <v>312</v>
      </c>
      <c r="C48" s="13" t="s">
        <v>313</v>
      </c>
      <c r="D48" s="13" t="s">
        <v>314</v>
      </c>
      <c r="E48" s="13" t="s">
        <v>297</v>
      </c>
    </row>
    <row r="49" customFormat="false" ht="15" hidden="false" customHeight="false" outlineLevel="0" collapsed="false">
      <c r="A49" s="13" t="n">
        <v>8</v>
      </c>
      <c r="B49" s="13" t="s">
        <v>315</v>
      </c>
      <c r="C49" s="13" t="s">
        <v>316</v>
      </c>
      <c r="D49" s="13" t="s">
        <v>317</v>
      </c>
      <c r="E49" s="13" t="s">
        <v>82</v>
      </c>
    </row>
    <row r="51" customFormat="false" ht="19.5" hidden="false" customHeight="true" outlineLevel="0" collapsed="false">
      <c r="A51" s="28" t="s">
        <v>318</v>
      </c>
      <c r="B51" s="28"/>
      <c r="C51" s="28"/>
      <c r="D51" s="28"/>
      <c r="E51" s="28"/>
    </row>
    <row r="52" customFormat="false" ht="30" hidden="false" customHeight="true" outlineLevel="0" collapsed="false">
      <c r="A52" s="12" t="s">
        <v>142</v>
      </c>
      <c r="B52" s="12" t="s">
        <v>319</v>
      </c>
      <c r="C52" s="12" t="s">
        <v>320</v>
      </c>
      <c r="D52" s="12" t="s">
        <v>113</v>
      </c>
      <c r="E52" s="12" t="s">
        <v>321</v>
      </c>
    </row>
    <row r="53" customFormat="false" ht="15" hidden="false" customHeight="false" outlineLevel="0" collapsed="false">
      <c r="A53" s="13" t="n">
        <v>1</v>
      </c>
      <c r="B53" s="13" t="s">
        <v>120</v>
      </c>
      <c r="C53" s="13" t="s">
        <v>322</v>
      </c>
      <c r="D53" s="13" t="s">
        <v>323</v>
      </c>
      <c r="E53" s="13" t="s">
        <v>324</v>
      </c>
    </row>
    <row r="54" customFormat="false" ht="15" hidden="false" customHeight="false" outlineLevel="0" collapsed="false">
      <c r="A54" s="13" t="n">
        <v>2</v>
      </c>
      <c r="B54" s="13" t="s">
        <v>325</v>
      </c>
      <c r="C54" s="13" t="s">
        <v>326</v>
      </c>
      <c r="D54" s="13" t="s">
        <v>327</v>
      </c>
      <c r="E54" s="13" t="s">
        <v>67</v>
      </c>
    </row>
    <row r="55" customFormat="false" ht="15" hidden="false" customHeight="false" outlineLevel="0" collapsed="false">
      <c r="A55" s="13" t="n">
        <v>3</v>
      </c>
      <c r="B55" s="13" t="s">
        <v>328</v>
      </c>
      <c r="C55" s="13" t="s">
        <v>329</v>
      </c>
      <c r="D55" s="13" t="s">
        <v>330</v>
      </c>
      <c r="E55" s="13" t="s">
        <v>67</v>
      </c>
    </row>
    <row r="56" customFormat="false" ht="15" hidden="false" customHeight="false" outlineLevel="0" collapsed="false">
      <c r="A56" s="13" t="n">
        <v>4</v>
      </c>
      <c r="B56" s="13" t="s">
        <v>331</v>
      </c>
      <c r="C56" s="13" t="s">
        <v>332</v>
      </c>
      <c r="D56" s="13" t="s">
        <v>333</v>
      </c>
      <c r="E56" s="13" t="s">
        <v>67</v>
      </c>
    </row>
    <row r="57" customFormat="false" ht="15" hidden="false" customHeight="false" outlineLevel="0" collapsed="false">
      <c r="A57" s="13" t="n">
        <v>5</v>
      </c>
      <c r="B57" s="13" t="s">
        <v>240</v>
      </c>
      <c r="C57" s="13" t="s">
        <v>334</v>
      </c>
      <c r="D57" s="13" t="s">
        <v>335</v>
      </c>
      <c r="E57" s="13" t="s">
        <v>324</v>
      </c>
    </row>
    <row r="58" customFormat="false" ht="15" hidden="false" customHeight="false" outlineLevel="0" collapsed="false">
      <c r="A58" s="13" t="n">
        <v>6</v>
      </c>
      <c r="B58" s="13" t="s">
        <v>336</v>
      </c>
      <c r="C58" s="13" t="s">
        <v>337</v>
      </c>
      <c r="D58" s="13" t="s">
        <v>338</v>
      </c>
      <c r="E58" s="13" t="s">
        <v>67</v>
      </c>
    </row>
    <row r="59" customFormat="false" ht="15" hidden="false" customHeight="false" outlineLevel="0" collapsed="false">
      <c r="A59" s="13" t="n">
        <v>7</v>
      </c>
      <c r="B59" s="13" t="s">
        <v>339</v>
      </c>
      <c r="C59" s="13" t="s">
        <v>340</v>
      </c>
      <c r="D59" s="13" t="s">
        <v>327</v>
      </c>
      <c r="E59" s="13" t="s">
        <v>324</v>
      </c>
    </row>
    <row r="60" customFormat="false" ht="15" hidden="false" customHeight="false" outlineLevel="0" collapsed="false">
      <c r="A60" s="13" t="n">
        <v>8</v>
      </c>
      <c r="B60" s="13" t="s">
        <v>341</v>
      </c>
      <c r="C60" s="13" t="s">
        <v>342</v>
      </c>
      <c r="D60" s="13" t="s">
        <v>343</v>
      </c>
      <c r="E60" s="13" t="s">
        <v>324</v>
      </c>
    </row>
    <row r="61" customFormat="false" ht="15" hidden="false" customHeight="false" outlineLevel="0" collapsed="false">
      <c r="A61" s="13" t="n">
        <v>9</v>
      </c>
      <c r="B61" s="13" t="s">
        <v>344</v>
      </c>
      <c r="C61" s="13" t="s">
        <v>345</v>
      </c>
      <c r="D61" s="13" t="s">
        <v>346</v>
      </c>
      <c r="E61" s="13" t="s">
        <v>67</v>
      </c>
    </row>
    <row r="62" customFormat="false" ht="15" hidden="false" customHeight="false" outlineLevel="0" collapsed="false">
      <c r="A62" s="13" t="n">
        <v>10</v>
      </c>
      <c r="B62" s="13" t="s">
        <v>347</v>
      </c>
      <c r="C62" s="13" t="s">
        <v>348</v>
      </c>
      <c r="D62" s="13" t="s">
        <v>349</v>
      </c>
      <c r="E62" s="13" t="s">
        <v>350</v>
      </c>
    </row>
    <row r="64" customFormat="false" ht="19.5" hidden="false" customHeight="true" outlineLevel="0" collapsed="false">
      <c r="A64" s="28" t="s">
        <v>351</v>
      </c>
      <c r="B64" s="28"/>
      <c r="C64" s="28"/>
      <c r="D64" s="28"/>
      <c r="E64" s="28"/>
    </row>
    <row r="65" customFormat="false" ht="39.75" hidden="false" customHeight="true" outlineLevel="0" collapsed="false">
      <c r="A65" s="41" t="s">
        <v>352</v>
      </c>
      <c r="B65" s="41"/>
      <c r="C65" s="41"/>
      <c r="D65" s="41"/>
      <c r="E65" s="41"/>
    </row>
    <row r="67" customFormat="false" ht="19.5" hidden="false" customHeight="true" outlineLevel="0" collapsed="false">
      <c r="A67" s="28" t="s">
        <v>353</v>
      </c>
      <c r="B67" s="28"/>
      <c r="C67" s="28"/>
      <c r="D67" s="28"/>
      <c r="E67" s="28"/>
    </row>
    <row r="68" customFormat="false" ht="30" hidden="false" customHeight="true" outlineLevel="0" collapsed="false">
      <c r="A68" s="12" t="s">
        <v>142</v>
      </c>
      <c r="B68" s="12" t="s">
        <v>354</v>
      </c>
      <c r="C68" s="12" t="s">
        <v>355</v>
      </c>
      <c r="D68" s="12" t="s">
        <v>321</v>
      </c>
      <c r="E68" s="12" t="s">
        <v>144</v>
      </c>
    </row>
    <row r="69" customFormat="false" ht="15" hidden="false" customHeight="false" outlineLevel="0" collapsed="false">
      <c r="A69" s="13" t="n">
        <v>1</v>
      </c>
      <c r="B69" s="13" t="s">
        <v>356</v>
      </c>
      <c r="C69" s="13" t="s">
        <v>357</v>
      </c>
      <c r="D69" s="13" t="s">
        <v>67</v>
      </c>
      <c r="E69" s="13" t="s">
        <v>358</v>
      </c>
    </row>
    <row r="70" customFormat="false" ht="23.85" hidden="false" customHeight="false" outlineLevel="0" collapsed="false">
      <c r="A70" s="13" t="n">
        <v>2</v>
      </c>
      <c r="B70" s="13" t="s">
        <v>359</v>
      </c>
      <c r="C70" s="13" t="s">
        <v>360</v>
      </c>
      <c r="D70" s="13" t="s">
        <v>71</v>
      </c>
      <c r="E70" s="13" t="s">
        <v>254</v>
      </c>
    </row>
    <row r="71" customFormat="false" ht="23.85" hidden="false" customHeight="false" outlineLevel="0" collapsed="false">
      <c r="A71" s="13" t="n">
        <v>3</v>
      </c>
      <c r="B71" s="13" t="s">
        <v>361</v>
      </c>
      <c r="C71" s="13" t="s">
        <v>362</v>
      </c>
      <c r="D71" s="13" t="s">
        <v>67</v>
      </c>
      <c r="E71" s="13" t="s">
        <v>363</v>
      </c>
    </row>
    <row r="72" customFormat="false" ht="15" hidden="false" customHeight="false" outlineLevel="0" collapsed="false">
      <c r="A72" s="13" t="n">
        <v>4</v>
      </c>
      <c r="B72" s="13" t="s">
        <v>364</v>
      </c>
      <c r="C72" s="13" t="s">
        <v>365</v>
      </c>
      <c r="D72" s="13" t="s">
        <v>71</v>
      </c>
      <c r="E72" s="13" t="s">
        <v>366</v>
      </c>
    </row>
    <row r="73" customFormat="false" ht="15" hidden="false" customHeight="false" outlineLevel="0" collapsed="false">
      <c r="A73" s="13" t="n">
        <v>5</v>
      </c>
      <c r="B73" s="13" t="s">
        <v>367</v>
      </c>
      <c r="C73" s="13" t="s">
        <v>368</v>
      </c>
      <c r="D73" s="13" t="s">
        <v>78</v>
      </c>
      <c r="E73" s="13" t="s">
        <v>369</v>
      </c>
    </row>
    <row r="74" customFormat="false" ht="15" hidden="false" customHeight="false" outlineLevel="0" collapsed="false">
      <c r="A74" s="13" t="n">
        <v>6</v>
      </c>
      <c r="B74" s="13" t="s">
        <v>370</v>
      </c>
      <c r="C74" s="13" t="s">
        <v>371</v>
      </c>
      <c r="D74" s="13" t="s">
        <v>71</v>
      </c>
      <c r="E74" s="13" t="s">
        <v>254</v>
      </c>
    </row>
    <row r="75" customFormat="false" ht="15" hidden="false" customHeight="false" outlineLevel="0" collapsed="false">
      <c r="A75" s="13" t="n">
        <v>7</v>
      </c>
      <c r="B75" s="13" t="s">
        <v>372</v>
      </c>
      <c r="C75" s="13" t="s">
        <v>371</v>
      </c>
      <c r="D75" s="13" t="s">
        <v>67</v>
      </c>
      <c r="E75" s="13" t="s">
        <v>260</v>
      </c>
    </row>
    <row r="76" customFormat="false" ht="15" hidden="false" customHeight="false" outlineLevel="0" collapsed="false">
      <c r="A76" s="13" t="n">
        <v>8</v>
      </c>
      <c r="B76" s="13" t="s">
        <v>373</v>
      </c>
      <c r="C76" s="13" t="s">
        <v>374</v>
      </c>
      <c r="D76" s="13" t="s">
        <v>324</v>
      </c>
      <c r="E76" s="13" t="s">
        <v>375</v>
      </c>
    </row>
    <row r="77" customFormat="false" ht="15" hidden="false" customHeight="false" outlineLevel="0" collapsed="false">
      <c r="A77" s="13" t="n">
        <v>9</v>
      </c>
      <c r="B77" s="13" t="s">
        <v>376</v>
      </c>
      <c r="C77" s="13" t="s">
        <v>377</v>
      </c>
      <c r="D77" s="13" t="s">
        <v>378</v>
      </c>
      <c r="E77" s="13" t="s">
        <v>379</v>
      </c>
    </row>
  </sheetData>
  <mergeCells count="11">
    <mergeCell ref="A1:E1"/>
    <mergeCell ref="A3:E3"/>
    <mergeCell ref="A4:E4"/>
    <mergeCell ref="A6:E6"/>
    <mergeCell ref="A20:E20"/>
    <mergeCell ref="A29:E29"/>
    <mergeCell ref="A40:E40"/>
    <mergeCell ref="A51:E51"/>
    <mergeCell ref="A64:E64"/>
    <mergeCell ref="A65:E65"/>
    <mergeCell ref="A67:E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4" min="3" style="0" width="14"/>
    <col collapsed="false" customWidth="true" hidden="false" outlineLevel="0" max="5" min="5" style="0" width="42"/>
    <col collapsed="false" customWidth="true" hidden="false" outlineLevel="0" max="6" min="6" style="0" width="20"/>
    <col collapsed="false" customWidth="true" hidden="false" outlineLevel="0" max="7" min="7" style="0" width="14"/>
    <col collapsed="false" customWidth="true" hidden="false" outlineLevel="0" max="8" min="8" style="0" width="50"/>
  </cols>
  <sheetData>
    <row r="1" customFormat="false" ht="25.5" hidden="false" customHeight="true" outlineLevel="0" collapsed="false">
      <c r="A1" s="1" t="s">
        <v>380</v>
      </c>
      <c r="B1" s="1"/>
      <c r="C1" s="1"/>
      <c r="D1" s="1"/>
      <c r="E1" s="1"/>
      <c r="F1" s="1"/>
      <c r="G1" s="1"/>
      <c r="H1" s="1"/>
    </row>
    <row r="2" customFormat="false" ht="30" hidden="false" customHeight="true" outlineLevel="0" collapsed="false">
      <c r="A2" s="11" t="s">
        <v>381</v>
      </c>
      <c r="B2" s="11"/>
      <c r="C2" s="11"/>
      <c r="D2" s="11"/>
      <c r="E2" s="11"/>
      <c r="F2" s="11"/>
      <c r="G2" s="11"/>
      <c r="H2" s="11"/>
    </row>
    <row r="3" customFormat="false" ht="30" hidden="false" customHeight="true" outlineLevel="0" collapsed="false">
      <c r="A3" s="12" t="s">
        <v>142</v>
      </c>
      <c r="B3" s="12" t="s">
        <v>382</v>
      </c>
      <c r="C3" s="12" t="s">
        <v>383</v>
      </c>
      <c r="D3" s="12" t="s">
        <v>384</v>
      </c>
      <c r="E3" s="12" t="s">
        <v>385</v>
      </c>
      <c r="F3" s="12" t="s">
        <v>8</v>
      </c>
      <c r="G3" s="12" t="s">
        <v>144</v>
      </c>
      <c r="H3" s="12" t="s">
        <v>386</v>
      </c>
    </row>
    <row r="4" customFormat="false" ht="15" hidden="false" customHeight="false" outlineLevel="0" collapsed="false">
      <c r="A4" s="13" t="n">
        <v>1</v>
      </c>
      <c r="B4" s="13" t="s">
        <v>387</v>
      </c>
      <c r="C4" s="42" t="s">
        <v>388</v>
      </c>
      <c r="D4" s="40" t="s">
        <v>389</v>
      </c>
      <c r="E4" s="13" t="s">
        <v>390</v>
      </c>
      <c r="F4" s="13" t="s">
        <v>297</v>
      </c>
      <c r="G4" s="39" t="s">
        <v>157</v>
      </c>
      <c r="H4" s="13" t="s">
        <v>391</v>
      </c>
    </row>
    <row r="5" customFormat="false" ht="15" hidden="false" customHeight="false" outlineLevel="0" collapsed="false">
      <c r="A5" s="13" t="n">
        <v>2</v>
      </c>
      <c r="B5" s="13" t="s">
        <v>392</v>
      </c>
      <c r="C5" s="42" t="s">
        <v>388</v>
      </c>
      <c r="D5" s="40" t="s">
        <v>389</v>
      </c>
      <c r="E5" s="13" t="s">
        <v>393</v>
      </c>
      <c r="F5" s="13" t="s">
        <v>82</v>
      </c>
      <c r="G5" s="39" t="s">
        <v>394</v>
      </c>
      <c r="H5" s="13" t="s">
        <v>395</v>
      </c>
    </row>
    <row r="6" customFormat="false" ht="23.85" hidden="false" customHeight="false" outlineLevel="0" collapsed="false">
      <c r="A6" s="13" t="n">
        <v>3</v>
      </c>
      <c r="B6" s="13" t="s">
        <v>396</v>
      </c>
      <c r="C6" s="42" t="s">
        <v>388</v>
      </c>
      <c r="D6" s="40" t="s">
        <v>389</v>
      </c>
      <c r="E6" s="13" t="s">
        <v>397</v>
      </c>
      <c r="F6" s="13" t="s">
        <v>297</v>
      </c>
      <c r="G6" s="39" t="s">
        <v>398</v>
      </c>
      <c r="H6" s="13" t="s">
        <v>399</v>
      </c>
    </row>
    <row r="7" customFormat="false" ht="23.85" hidden="false" customHeight="false" outlineLevel="0" collapsed="false">
      <c r="A7" s="13" t="n">
        <v>4</v>
      </c>
      <c r="B7" s="13" t="s">
        <v>400</v>
      </c>
      <c r="C7" s="42" t="s">
        <v>388</v>
      </c>
      <c r="D7" s="40" t="s">
        <v>389</v>
      </c>
      <c r="E7" s="13" t="s">
        <v>401</v>
      </c>
      <c r="F7" s="13" t="s">
        <v>202</v>
      </c>
      <c r="G7" s="39" t="s">
        <v>379</v>
      </c>
      <c r="H7" s="13" t="s">
        <v>402</v>
      </c>
    </row>
    <row r="8" customFormat="false" ht="23.85" hidden="false" customHeight="false" outlineLevel="0" collapsed="false">
      <c r="A8" s="13" t="n">
        <v>5</v>
      </c>
      <c r="B8" s="13" t="s">
        <v>403</v>
      </c>
      <c r="C8" s="15" t="s">
        <v>404</v>
      </c>
      <c r="D8" s="40" t="s">
        <v>405</v>
      </c>
      <c r="E8" s="13" t="s">
        <v>406</v>
      </c>
      <c r="F8" s="13" t="s">
        <v>202</v>
      </c>
      <c r="G8" s="39" t="s">
        <v>407</v>
      </c>
      <c r="H8" s="13" t="s">
        <v>408</v>
      </c>
    </row>
    <row r="9" customFormat="false" ht="23.85" hidden="false" customHeight="false" outlineLevel="0" collapsed="false">
      <c r="A9" s="13" t="n">
        <v>6</v>
      </c>
      <c r="B9" s="13" t="s">
        <v>409</v>
      </c>
      <c r="C9" s="42" t="s">
        <v>388</v>
      </c>
      <c r="D9" s="40" t="s">
        <v>389</v>
      </c>
      <c r="E9" s="13" t="s">
        <v>410</v>
      </c>
      <c r="F9" s="13" t="s">
        <v>220</v>
      </c>
      <c r="G9" s="39" t="s">
        <v>411</v>
      </c>
      <c r="H9" s="13" t="s">
        <v>412</v>
      </c>
    </row>
    <row r="10" customFormat="false" ht="15" hidden="false" customHeight="false" outlineLevel="0" collapsed="false">
      <c r="A10" s="13" t="n">
        <v>7</v>
      </c>
      <c r="B10" s="13" t="s">
        <v>413</v>
      </c>
      <c r="C10" s="42" t="s">
        <v>388</v>
      </c>
      <c r="D10" s="40" t="s">
        <v>414</v>
      </c>
      <c r="E10" s="13" t="s">
        <v>415</v>
      </c>
      <c r="F10" s="13" t="s">
        <v>297</v>
      </c>
      <c r="G10" s="39" t="s">
        <v>416</v>
      </c>
      <c r="H10" s="13" t="s">
        <v>417</v>
      </c>
    </row>
    <row r="11" customFormat="false" ht="23.85" hidden="false" customHeight="false" outlineLevel="0" collapsed="false">
      <c r="A11" s="13" t="n">
        <v>8</v>
      </c>
      <c r="B11" s="13" t="s">
        <v>418</v>
      </c>
      <c r="C11" s="15" t="s">
        <v>404</v>
      </c>
      <c r="D11" s="40" t="s">
        <v>419</v>
      </c>
      <c r="E11" s="13" t="s">
        <v>420</v>
      </c>
      <c r="F11" s="13" t="s">
        <v>214</v>
      </c>
      <c r="G11" s="39" t="s">
        <v>217</v>
      </c>
      <c r="H11" s="13" t="s">
        <v>421</v>
      </c>
    </row>
    <row r="12" customFormat="false" ht="23.85" hidden="false" customHeight="false" outlineLevel="0" collapsed="false">
      <c r="A12" s="13" t="n">
        <v>9</v>
      </c>
      <c r="B12" s="13" t="s">
        <v>207</v>
      </c>
      <c r="C12" s="18" t="s">
        <v>422</v>
      </c>
      <c r="D12" s="40" t="s">
        <v>389</v>
      </c>
      <c r="E12" s="13" t="s">
        <v>423</v>
      </c>
      <c r="F12" s="13" t="s">
        <v>297</v>
      </c>
      <c r="G12" s="39" t="s">
        <v>148</v>
      </c>
      <c r="H12" s="13" t="s">
        <v>424</v>
      </c>
    </row>
    <row r="13" customFormat="false" ht="15" hidden="false" customHeight="false" outlineLevel="0" collapsed="false">
      <c r="A13" s="13" t="n">
        <v>10</v>
      </c>
      <c r="B13" s="13" t="s">
        <v>425</v>
      </c>
      <c r="C13" s="42" t="s">
        <v>388</v>
      </c>
      <c r="D13" s="40" t="s">
        <v>389</v>
      </c>
      <c r="E13" s="13" t="s">
        <v>426</v>
      </c>
      <c r="F13" s="13" t="s">
        <v>82</v>
      </c>
      <c r="G13" s="39" t="s">
        <v>71</v>
      </c>
      <c r="H13" s="13" t="s">
        <v>427</v>
      </c>
    </row>
    <row r="14" customFormat="false" ht="15" hidden="false" customHeight="false" outlineLevel="0" collapsed="false">
      <c r="A14" s="13" t="n">
        <v>11</v>
      </c>
      <c r="B14" s="13" t="s">
        <v>428</v>
      </c>
      <c r="C14" s="42" t="s">
        <v>388</v>
      </c>
      <c r="D14" s="40" t="s">
        <v>414</v>
      </c>
      <c r="E14" s="13" t="s">
        <v>429</v>
      </c>
      <c r="F14" s="13" t="s">
        <v>297</v>
      </c>
      <c r="G14" s="39" t="s">
        <v>430</v>
      </c>
      <c r="H14" s="13" t="s">
        <v>431</v>
      </c>
    </row>
    <row r="15" customFormat="false" ht="23.85" hidden="false" customHeight="false" outlineLevel="0" collapsed="false">
      <c r="A15" s="13" t="n">
        <v>12</v>
      </c>
      <c r="B15" s="13" t="s">
        <v>432</v>
      </c>
      <c r="C15" s="42" t="s">
        <v>388</v>
      </c>
      <c r="D15" s="40" t="s">
        <v>389</v>
      </c>
      <c r="E15" s="13" t="s">
        <v>433</v>
      </c>
      <c r="F15" s="13" t="s">
        <v>304</v>
      </c>
      <c r="G15" s="39" t="s">
        <v>157</v>
      </c>
      <c r="H15" s="13" t="s">
        <v>434</v>
      </c>
    </row>
    <row r="16" customFormat="false" ht="15" hidden="false" customHeight="false" outlineLevel="0" collapsed="false">
      <c r="A16" s="13" t="n">
        <v>13</v>
      </c>
      <c r="B16" s="13" t="s">
        <v>435</v>
      </c>
      <c r="C16" s="42" t="s">
        <v>388</v>
      </c>
      <c r="D16" s="40" t="s">
        <v>389</v>
      </c>
      <c r="E16" s="13" t="s">
        <v>436</v>
      </c>
      <c r="F16" s="13" t="s">
        <v>82</v>
      </c>
      <c r="G16" s="39" t="s">
        <v>157</v>
      </c>
      <c r="H16" s="13" t="s">
        <v>437</v>
      </c>
    </row>
    <row r="17" customFormat="false" ht="23.85" hidden="false" customHeight="false" outlineLevel="0" collapsed="false">
      <c r="A17" s="13" t="n">
        <v>14</v>
      </c>
      <c r="B17" s="13" t="s">
        <v>438</v>
      </c>
      <c r="C17" s="42" t="s">
        <v>388</v>
      </c>
      <c r="D17" s="40" t="s">
        <v>389</v>
      </c>
      <c r="E17" s="13" t="s">
        <v>439</v>
      </c>
      <c r="F17" s="13" t="s">
        <v>297</v>
      </c>
      <c r="G17" s="39" t="s">
        <v>157</v>
      </c>
      <c r="H17" s="13" t="s">
        <v>440</v>
      </c>
    </row>
    <row r="19" customFormat="false" ht="39.75" hidden="false" customHeight="true" outlineLevel="0" collapsed="false">
      <c r="A19" s="11" t="s">
        <v>441</v>
      </c>
      <c r="B19" s="11"/>
      <c r="C19" s="11"/>
      <c r="D19" s="11"/>
      <c r="E19" s="11"/>
      <c r="F19" s="11"/>
      <c r="G19" s="11"/>
      <c r="H19" s="11"/>
    </row>
  </sheetData>
  <mergeCells count="3">
    <mergeCell ref="A1:H1"/>
    <mergeCell ref="A2:H2"/>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38"/>
    <col collapsed="false" customWidth="true" hidden="false" outlineLevel="0" max="4" min="4" style="0" width="22"/>
    <col collapsed="false" customWidth="true" hidden="false" outlineLevel="0" max="5" min="5" style="0" width="36"/>
    <col collapsed="false" customWidth="true" hidden="false" outlineLevel="0" max="6" min="6" style="0" width="26"/>
    <col collapsed="false" customWidth="true" hidden="false" outlineLevel="0" max="7" min="7" style="0" width="11"/>
    <col collapsed="false" customWidth="true" hidden="false" outlineLevel="0" max="8" min="8" style="0" width="40"/>
    <col collapsed="false" customWidth="true" hidden="false" outlineLevel="0" max="9" min="9" style="0" width="16"/>
  </cols>
  <sheetData>
    <row r="1" customFormat="false" ht="25.5" hidden="false" customHeight="true" outlineLevel="0" collapsed="false">
      <c r="A1" s="1" t="s">
        <v>442</v>
      </c>
      <c r="B1" s="1"/>
      <c r="C1" s="1"/>
      <c r="D1" s="1"/>
      <c r="E1" s="1"/>
      <c r="F1" s="1"/>
      <c r="G1" s="1"/>
      <c r="H1" s="1"/>
      <c r="I1" s="1"/>
    </row>
    <row r="2" customFormat="false" ht="27.75" hidden="false" customHeight="true" outlineLevel="0" collapsed="false">
      <c r="A2" s="11" t="s">
        <v>443</v>
      </c>
      <c r="B2" s="11"/>
      <c r="C2" s="11"/>
      <c r="D2" s="11"/>
      <c r="E2" s="11"/>
      <c r="F2" s="11"/>
      <c r="G2" s="11"/>
      <c r="H2" s="11"/>
      <c r="I2" s="11"/>
    </row>
    <row r="3" customFormat="false" ht="30" hidden="false" customHeight="true" outlineLevel="0" collapsed="false">
      <c r="A3" s="12" t="s">
        <v>142</v>
      </c>
      <c r="B3" s="12" t="s">
        <v>444</v>
      </c>
      <c r="C3" s="12" t="s">
        <v>445</v>
      </c>
      <c r="D3" s="12" t="s">
        <v>446</v>
      </c>
      <c r="E3" s="12" t="s">
        <v>447</v>
      </c>
      <c r="F3" s="12" t="s">
        <v>448</v>
      </c>
      <c r="G3" s="12" t="s">
        <v>449</v>
      </c>
      <c r="H3" s="12" t="s">
        <v>450</v>
      </c>
      <c r="I3" s="12" t="s">
        <v>451</v>
      </c>
    </row>
    <row r="4" customFormat="false" ht="23.85" hidden="false" customHeight="false" outlineLevel="0" collapsed="false">
      <c r="A4" s="13" t="n">
        <v>1</v>
      </c>
      <c r="B4" s="20" t="s">
        <v>452</v>
      </c>
      <c r="C4" s="13" t="s">
        <v>453</v>
      </c>
      <c r="D4" s="13" t="s">
        <v>454</v>
      </c>
      <c r="E4" s="20" t="s">
        <v>455</v>
      </c>
      <c r="F4" s="13" t="s">
        <v>48</v>
      </c>
      <c r="G4" s="18" t="s">
        <v>456</v>
      </c>
      <c r="H4" s="13" t="s">
        <v>457</v>
      </c>
      <c r="I4" s="43"/>
    </row>
    <row r="5" customFormat="false" ht="23.85" hidden="false" customHeight="false" outlineLevel="0" collapsed="false">
      <c r="A5" s="13" t="n">
        <v>2</v>
      </c>
      <c r="B5" s="20" t="s">
        <v>458</v>
      </c>
      <c r="C5" s="13" t="s">
        <v>459</v>
      </c>
      <c r="D5" s="13" t="s">
        <v>460</v>
      </c>
      <c r="E5" s="20" t="s">
        <v>461</v>
      </c>
      <c r="F5" s="13" t="s">
        <v>462</v>
      </c>
      <c r="G5" s="18" t="s">
        <v>456</v>
      </c>
      <c r="H5" s="13" t="s">
        <v>463</v>
      </c>
      <c r="I5" s="43"/>
    </row>
    <row r="6" customFormat="false" ht="23.85" hidden="false" customHeight="false" outlineLevel="0" collapsed="false">
      <c r="A6" s="13" t="n">
        <v>3</v>
      </c>
      <c r="B6" s="20" t="s">
        <v>35</v>
      </c>
      <c r="C6" s="13" t="s">
        <v>464</v>
      </c>
      <c r="D6" s="13" t="s">
        <v>465</v>
      </c>
      <c r="E6" s="20" t="s">
        <v>466</v>
      </c>
      <c r="F6" s="13" t="s">
        <v>467</v>
      </c>
      <c r="G6" s="18" t="s">
        <v>456</v>
      </c>
      <c r="H6" s="13" t="s">
        <v>468</v>
      </c>
      <c r="I6" s="43"/>
    </row>
    <row r="7" customFormat="false" ht="23.85" hidden="false" customHeight="false" outlineLevel="0" collapsed="false">
      <c r="A7" s="13" t="n">
        <v>4</v>
      </c>
      <c r="B7" s="20" t="s">
        <v>32</v>
      </c>
      <c r="C7" s="13" t="s">
        <v>469</v>
      </c>
      <c r="D7" s="13" t="s">
        <v>470</v>
      </c>
      <c r="E7" s="20" t="s">
        <v>466</v>
      </c>
      <c r="F7" s="13" t="s">
        <v>471</v>
      </c>
      <c r="G7" s="18" t="s">
        <v>456</v>
      </c>
      <c r="H7" s="13" t="s">
        <v>472</v>
      </c>
      <c r="I7" s="43"/>
    </row>
    <row r="8" customFormat="false" ht="23.85" hidden="false" customHeight="false" outlineLevel="0" collapsed="false">
      <c r="A8" s="13" t="n">
        <v>5</v>
      </c>
      <c r="B8" s="20" t="s">
        <v>473</v>
      </c>
      <c r="C8" s="13" t="s">
        <v>474</v>
      </c>
      <c r="D8" s="13" t="s">
        <v>475</v>
      </c>
      <c r="E8" s="20" t="s">
        <v>476</v>
      </c>
      <c r="F8" s="13" t="s">
        <v>477</v>
      </c>
      <c r="G8" s="44" t="s">
        <v>478</v>
      </c>
      <c r="H8" s="13" t="s">
        <v>479</v>
      </c>
      <c r="I8" s="43"/>
    </row>
    <row r="9" customFormat="false" ht="23.85" hidden="false" customHeight="false" outlineLevel="0" collapsed="false">
      <c r="A9" s="13" t="n">
        <v>6</v>
      </c>
      <c r="B9" s="20" t="s">
        <v>480</v>
      </c>
      <c r="C9" s="13" t="s">
        <v>481</v>
      </c>
      <c r="D9" s="13" t="s">
        <v>482</v>
      </c>
      <c r="E9" s="20" t="s">
        <v>483</v>
      </c>
      <c r="F9" s="13" t="s">
        <v>477</v>
      </c>
      <c r="G9" s="44" t="s">
        <v>478</v>
      </c>
      <c r="H9" s="13" t="s">
        <v>484</v>
      </c>
      <c r="I9" s="43"/>
    </row>
    <row r="10" customFormat="false" ht="23.85" hidden="false" customHeight="false" outlineLevel="0" collapsed="false">
      <c r="A10" s="13" t="n">
        <v>7</v>
      </c>
      <c r="B10" s="20" t="s">
        <v>485</v>
      </c>
      <c r="C10" s="13" t="s">
        <v>486</v>
      </c>
      <c r="D10" s="13" t="s">
        <v>487</v>
      </c>
      <c r="E10" s="20" t="s">
        <v>488</v>
      </c>
      <c r="F10" s="13" t="s">
        <v>48</v>
      </c>
      <c r="G10" s="45" t="s">
        <v>489</v>
      </c>
      <c r="H10" s="13" t="s">
        <v>490</v>
      </c>
      <c r="I10" s="43"/>
    </row>
    <row r="11" customFormat="false" ht="23.85" hidden="false" customHeight="false" outlineLevel="0" collapsed="false">
      <c r="A11" s="13" t="n">
        <v>8</v>
      </c>
      <c r="B11" s="20" t="s">
        <v>491</v>
      </c>
      <c r="C11" s="13" t="s">
        <v>492</v>
      </c>
      <c r="D11" s="13" t="s">
        <v>487</v>
      </c>
      <c r="E11" s="20" t="s">
        <v>493</v>
      </c>
      <c r="F11" s="13" t="s">
        <v>48</v>
      </c>
      <c r="G11" s="45" t="s">
        <v>489</v>
      </c>
      <c r="H11" s="13" t="s">
        <v>494</v>
      </c>
      <c r="I11" s="43"/>
    </row>
    <row r="12" customFormat="false" ht="23.85" hidden="false" customHeight="false" outlineLevel="0" collapsed="false">
      <c r="A12" s="13" t="n">
        <v>9</v>
      </c>
      <c r="B12" s="20" t="s">
        <v>495</v>
      </c>
      <c r="C12" s="13" t="s">
        <v>496</v>
      </c>
      <c r="D12" s="13" t="s">
        <v>497</v>
      </c>
      <c r="E12" s="20" t="s">
        <v>498</v>
      </c>
      <c r="F12" s="13" t="s">
        <v>48</v>
      </c>
      <c r="G12" s="42" t="s">
        <v>497</v>
      </c>
      <c r="H12" s="13" t="s">
        <v>499</v>
      </c>
      <c r="I12" s="43"/>
    </row>
    <row r="13" customFormat="false" ht="23.85" hidden="false" customHeight="false" outlineLevel="0" collapsed="false">
      <c r="A13" s="13" t="n">
        <v>10</v>
      </c>
      <c r="B13" s="20" t="s">
        <v>500</v>
      </c>
      <c r="C13" s="13" t="s">
        <v>501</v>
      </c>
      <c r="D13" s="13" t="s">
        <v>502</v>
      </c>
      <c r="E13" s="20" t="s">
        <v>503</v>
      </c>
      <c r="F13" s="13" t="s">
        <v>48</v>
      </c>
      <c r="G13" s="42" t="s">
        <v>289</v>
      </c>
      <c r="H13" s="13" t="s">
        <v>504</v>
      </c>
      <c r="I13" s="43"/>
    </row>
    <row r="15" customFormat="false" ht="15" hidden="false" customHeight="false" outlineLevel="0" collapsed="false">
      <c r="B15" s="27" t="s">
        <v>505</v>
      </c>
      <c r="C15" s="40" t="n">
        <f aca="false">COUNTIF(G4:G13,"Aktif")</f>
        <v>4</v>
      </c>
    </row>
    <row r="16" customFormat="false" ht="15" hidden="false" customHeight="false" outlineLevel="0" collapsed="false">
      <c r="B16" s="27" t="s">
        <v>478</v>
      </c>
      <c r="C16" s="40" t="n">
        <f aca="false">COUNTIF(G4:G13,"Yarı aktif")</f>
        <v>2</v>
      </c>
    </row>
    <row r="17" customFormat="false" ht="15" hidden="false" customHeight="false" outlineLevel="0" collapsed="false">
      <c r="B17" s="27" t="s">
        <v>489</v>
      </c>
      <c r="C17" s="40" t="n">
        <f aca="false">COUNTIF(G4:G13,"Pasif")</f>
        <v>2</v>
      </c>
    </row>
    <row r="18" customFormat="false" ht="15" hidden="false" customHeight="false" outlineLevel="0" collapsed="false">
      <c r="B18" s="27" t="s">
        <v>506</v>
      </c>
      <c r="C18" s="40" t="n">
        <f aca="false">COUNTIF(G4:G13,"Aktif")+0.5*COUNTIF(G4:G13,"Yarı aktif")</f>
        <v>5</v>
      </c>
    </row>
    <row r="20" customFormat="false" ht="54.75" hidden="false" customHeight="true" outlineLevel="0" collapsed="false">
      <c r="A20" s="21" t="s">
        <v>507</v>
      </c>
      <c r="B20" s="21"/>
      <c r="C20" s="21"/>
      <c r="D20" s="21"/>
      <c r="E20" s="21"/>
      <c r="F20" s="21"/>
      <c r="G20" s="21"/>
      <c r="H20" s="21"/>
      <c r="I20" s="21"/>
    </row>
  </sheetData>
  <mergeCells count="3">
    <mergeCell ref="A1:I1"/>
    <mergeCell ref="A2:I2"/>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2"/>
    <col collapsed="false" customWidth="true" hidden="false" outlineLevel="0" max="4" min="4" style="0" width="46"/>
    <col collapsed="false" customWidth="true" hidden="false" outlineLevel="0" max="6" min="5" style="0" width="34"/>
    <col collapsed="false" customWidth="true" hidden="false" outlineLevel="0" max="7" min="7" style="0" width="22"/>
    <col collapsed="false" customWidth="true" hidden="false" outlineLevel="0" max="8" min="8" style="0" width="30"/>
  </cols>
  <sheetData>
    <row r="1" customFormat="false" ht="25.5" hidden="false" customHeight="true" outlineLevel="0" collapsed="false">
      <c r="A1" s="1" t="s">
        <v>508</v>
      </c>
      <c r="B1" s="1"/>
      <c r="C1" s="1"/>
      <c r="D1" s="1"/>
      <c r="E1" s="1"/>
      <c r="F1" s="1"/>
      <c r="G1" s="1"/>
      <c r="H1" s="1"/>
    </row>
    <row r="2" customFormat="false" ht="51.75" hidden="false" customHeight="true" outlineLevel="0" collapsed="false">
      <c r="A2" s="11" t="s">
        <v>509</v>
      </c>
      <c r="B2" s="11"/>
      <c r="C2" s="11"/>
      <c r="D2" s="11"/>
      <c r="E2" s="11"/>
      <c r="F2" s="11"/>
      <c r="G2" s="11"/>
      <c r="H2" s="11"/>
    </row>
    <row r="3" customFormat="false" ht="30" hidden="false" customHeight="true" outlineLevel="0" collapsed="false">
      <c r="A3" s="12" t="s">
        <v>142</v>
      </c>
      <c r="B3" s="12" t="s">
        <v>510</v>
      </c>
      <c r="C3" s="12" t="s">
        <v>145</v>
      </c>
      <c r="D3" s="12" t="s">
        <v>511</v>
      </c>
      <c r="E3" s="12" t="s">
        <v>512</v>
      </c>
      <c r="F3" s="12" t="s">
        <v>513</v>
      </c>
      <c r="G3" s="12" t="s">
        <v>514</v>
      </c>
      <c r="H3" s="12" t="s">
        <v>515</v>
      </c>
    </row>
    <row r="4" customFormat="false" ht="48" hidden="false" customHeight="true" outlineLevel="0" collapsed="false">
      <c r="A4" s="13" t="n">
        <v>1</v>
      </c>
      <c r="B4" s="20" t="s">
        <v>516</v>
      </c>
      <c r="C4" s="18" t="s">
        <v>517</v>
      </c>
      <c r="D4" s="13" t="s">
        <v>518</v>
      </c>
      <c r="E4" s="13" t="s">
        <v>519</v>
      </c>
      <c r="F4" s="13" t="s">
        <v>520</v>
      </c>
      <c r="G4" s="13" t="s">
        <v>452</v>
      </c>
      <c r="H4" s="13" t="s">
        <v>521</v>
      </c>
    </row>
    <row r="5" customFormat="false" ht="48" hidden="false" customHeight="true" outlineLevel="0" collapsed="false">
      <c r="A5" s="13" t="n">
        <v>2</v>
      </c>
      <c r="B5" s="20" t="s">
        <v>522</v>
      </c>
      <c r="C5" s="15" t="s">
        <v>523</v>
      </c>
      <c r="D5" s="13" t="s">
        <v>524</v>
      </c>
      <c r="E5" s="13" t="s">
        <v>525</v>
      </c>
      <c r="F5" s="13" t="s">
        <v>526</v>
      </c>
      <c r="G5" s="13" t="s">
        <v>527</v>
      </c>
      <c r="H5" s="13" t="s">
        <v>528</v>
      </c>
    </row>
    <row r="6" customFormat="false" ht="48" hidden="false" customHeight="true" outlineLevel="0" collapsed="false">
      <c r="A6" s="13" t="n">
        <v>3</v>
      </c>
      <c r="B6" s="20" t="s">
        <v>529</v>
      </c>
      <c r="C6" s="15" t="s">
        <v>523</v>
      </c>
      <c r="D6" s="13" t="s">
        <v>530</v>
      </c>
      <c r="E6" s="13" t="s">
        <v>531</v>
      </c>
      <c r="F6" s="13" t="s">
        <v>532</v>
      </c>
      <c r="G6" s="13" t="s">
        <v>458</v>
      </c>
      <c r="H6" s="13" t="s">
        <v>533</v>
      </c>
    </row>
    <row r="7" customFormat="false" ht="48" hidden="false" customHeight="true" outlineLevel="0" collapsed="false">
      <c r="A7" s="13" t="n">
        <v>4</v>
      </c>
      <c r="B7" s="20" t="s">
        <v>534</v>
      </c>
      <c r="C7" s="15" t="s">
        <v>523</v>
      </c>
      <c r="D7" s="13" t="s">
        <v>535</v>
      </c>
      <c r="E7" s="13" t="s">
        <v>536</v>
      </c>
      <c r="F7" s="13" t="s">
        <v>282</v>
      </c>
      <c r="G7" s="13" t="s">
        <v>537</v>
      </c>
      <c r="H7" s="13" t="s">
        <v>538</v>
      </c>
    </row>
    <row r="8" customFormat="false" ht="48" hidden="false" customHeight="true" outlineLevel="0" collapsed="false">
      <c r="A8" s="13" t="n">
        <v>5</v>
      </c>
      <c r="B8" s="20" t="s">
        <v>539</v>
      </c>
      <c r="C8" s="15" t="s">
        <v>523</v>
      </c>
      <c r="D8" s="13" t="s">
        <v>540</v>
      </c>
      <c r="E8" s="13" t="s">
        <v>48</v>
      </c>
      <c r="F8" s="13" t="s">
        <v>541</v>
      </c>
      <c r="G8" s="13" t="s">
        <v>542</v>
      </c>
      <c r="H8" s="13" t="s">
        <v>543</v>
      </c>
    </row>
    <row r="9" customFormat="false" ht="48" hidden="false" customHeight="true" outlineLevel="0" collapsed="false">
      <c r="A9" s="13" t="n">
        <v>6</v>
      </c>
      <c r="B9" s="20" t="s">
        <v>544</v>
      </c>
      <c r="C9" s="15" t="s">
        <v>523</v>
      </c>
      <c r="D9" s="13" t="s">
        <v>545</v>
      </c>
      <c r="E9" s="13" t="s">
        <v>546</v>
      </c>
      <c r="F9" s="13" t="s">
        <v>547</v>
      </c>
      <c r="G9" s="13" t="s">
        <v>548</v>
      </c>
      <c r="H9" s="13" t="s">
        <v>549</v>
      </c>
    </row>
    <row r="10" customFormat="false" ht="48" hidden="false" customHeight="true" outlineLevel="0" collapsed="false">
      <c r="A10" s="13" t="n">
        <v>7</v>
      </c>
      <c r="B10" s="20" t="s">
        <v>550</v>
      </c>
      <c r="C10" s="15" t="s">
        <v>523</v>
      </c>
      <c r="D10" s="13" t="s">
        <v>551</v>
      </c>
      <c r="E10" s="13" t="s">
        <v>48</v>
      </c>
      <c r="F10" s="13" t="s">
        <v>552</v>
      </c>
      <c r="G10" s="13" t="s">
        <v>553</v>
      </c>
      <c r="H10" s="13" t="s">
        <v>554</v>
      </c>
    </row>
    <row r="11" customFormat="false" ht="48" hidden="false" customHeight="true" outlineLevel="0" collapsed="false">
      <c r="A11" s="13" t="n">
        <v>8</v>
      </c>
      <c r="B11" s="20" t="s">
        <v>555</v>
      </c>
      <c r="C11" s="15" t="s">
        <v>523</v>
      </c>
      <c r="D11" s="13" t="s">
        <v>556</v>
      </c>
      <c r="E11" s="13" t="s">
        <v>557</v>
      </c>
      <c r="F11" s="13" t="s">
        <v>558</v>
      </c>
      <c r="G11" s="13" t="s">
        <v>559</v>
      </c>
      <c r="H11" s="13" t="s">
        <v>560</v>
      </c>
    </row>
    <row r="13" customFormat="false" ht="54.75" hidden="false" customHeight="true" outlineLevel="0" collapsed="false">
      <c r="A13" s="21" t="s">
        <v>561</v>
      </c>
      <c r="B13" s="21"/>
      <c r="C13" s="21"/>
      <c r="D13" s="21"/>
      <c r="E13" s="21"/>
      <c r="F13" s="21"/>
      <c r="G13" s="21"/>
      <c r="H13" s="21"/>
    </row>
  </sheetData>
  <mergeCells count="3">
    <mergeCell ref="A1:H1"/>
    <mergeCell ref="A2:H2"/>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8"/>
    <col collapsed="false" customWidth="true" hidden="false" outlineLevel="0" max="7" min="7" style="0" width="10"/>
    <col collapsed="false" customWidth="true" hidden="false" outlineLevel="0" max="8" min="8" style="0" width="50"/>
    <col collapsed="false" customWidth="true" hidden="false" outlineLevel="0" max="9" min="9" style="0" width="44"/>
  </cols>
  <sheetData>
    <row r="1" customFormat="false" ht="25.5" hidden="false" customHeight="true" outlineLevel="0" collapsed="false">
      <c r="A1" s="1" t="s">
        <v>562</v>
      </c>
      <c r="B1" s="1"/>
      <c r="C1" s="1"/>
      <c r="D1" s="1"/>
      <c r="E1" s="1"/>
      <c r="F1" s="1"/>
      <c r="G1" s="1"/>
      <c r="H1" s="1"/>
      <c r="I1" s="1"/>
    </row>
    <row r="2" customFormat="false" ht="42" hidden="false" customHeight="true" outlineLevel="0" collapsed="false">
      <c r="A2" s="11" t="s">
        <v>563</v>
      </c>
      <c r="B2" s="11"/>
      <c r="C2" s="11"/>
      <c r="D2" s="11"/>
      <c r="E2" s="11"/>
      <c r="F2" s="11"/>
      <c r="G2" s="11"/>
      <c r="H2" s="11"/>
      <c r="I2" s="11"/>
    </row>
    <row r="3" customFormat="false" ht="30" hidden="false" customHeight="true" outlineLevel="0" collapsed="false">
      <c r="A3" s="12" t="s">
        <v>19</v>
      </c>
      <c r="B3" s="12" t="s">
        <v>564</v>
      </c>
      <c r="C3" s="12" t="s">
        <v>20</v>
      </c>
      <c r="D3" s="12" t="s">
        <v>22</v>
      </c>
      <c r="E3" s="12" t="s">
        <v>137</v>
      </c>
      <c r="F3" s="12" t="s">
        <v>138</v>
      </c>
      <c r="G3" s="12" t="s">
        <v>565</v>
      </c>
      <c r="H3" s="12" t="s">
        <v>566</v>
      </c>
      <c r="I3" s="12" t="s">
        <v>567</v>
      </c>
    </row>
    <row r="4" customFormat="false" ht="45.75" hidden="false" customHeight="true" outlineLevel="0" collapsed="false">
      <c r="A4" s="46" t="n">
        <v>1</v>
      </c>
      <c r="B4" s="14" t="s">
        <v>568</v>
      </c>
      <c r="C4" s="34" t="s">
        <v>24</v>
      </c>
      <c r="D4" s="30" t="s">
        <v>26</v>
      </c>
      <c r="E4" s="34" t="n">
        <v>10</v>
      </c>
      <c r="F4" s="34" t="n">
        <v>1</v>
      </c>
      <c r="G4" s="35" t="n">
        <f aca="false">IFERROR(F4/E4,0)</f>
        <v>0.1</v>
      </c>
      <c r="H4" s="13" t="s">
        <v>569</v>
      </c>
      <c r="I4" s="13" t="s">
        <v>570</v>
      </c>
    </row>
    <row r="5" customFormat="false" ht="45.75" hidden="false" customHeight="true" outlineLevel="0" collapsed="false">
      <c r="A5" s="47" t="n">
        <v>2</v>
      </c>
      <c r="B5" s="16" t="s">
        <v>571</v>
      </c>
      <c r="C5" s="34" t="s">
        <v>24</v>
      </c>
      <c r="D5" s="30" t="s">
        <v>26</v>
      </c>
      <c r="E5" s="34" t="n">
        <v>15</v>
      </c>
      <c r="F5" s="34" t="n">
        <v>3</v>
      </c>
      <c r="G5" s="35" t="n">
        <f aca="false">IFERROR(F5/E5,0)</f>
        <v>0.2</v>
      </c>
      <c r="H5" s="13" t="s">
        <v>572</v>
      </c>
      <c r="I5" s="13" t="s">
        <v>573</v>
      </c>
    </row>
    <row r="6" customFormat="false" ht="45.75" hidden="false" customHeight="true" outlineLevel="0" collapsed="false">
      <c r="A6" s="48" t="n">
        <v>3</v>
      </c>
      <c r="B6" s="17" t="s">
        <v>574</v>
      </c>
      <c r="C6" s="34" t="s">
        <v>30</v>
      </c>
      <c r="D6" s="49" t="s">
        <v>32</v>
      </c>
      <c r="E6" s="34" t="n">
        <v>6</v>
      </c>
      <c r="F6" s="34" t="n">
        <v>2</v>
      </c>
      <c r="G6" s="35" t="n">
        <f aca="false">IFERROR(F6/E6,0)</f>
        <v>0.333333333333333</v>
      </c>
      <c r="H6" s="13" t="s">
        <v>575</v>
      </c>
      <c r="I6" s="13" t="s">
        <v>576</v>
      </c>
    </row>
    <row r="7" customFormat="false" ht="45.75" hidden="false" customHeight="true" outlineLevel="0" collapsed="false">
      <c r="A7" s="50" t="n">
        <v>4</v>
      </c>
      <c r="B7" s="19" t="s">
        <v>577</v>
      </c>
      <c r="C7" s="34" t="s">
        <v>30</v>
      </c>
      <c r="D7" s="49" t="s">
        <v>35</v>
      </c>
      <c r="E7" s="34" t="n">
        <v>8</v>
      </c>
      <c r="F7" s="34" t="n">
        <v>3</v>
      </c>
      <c r="G7" s="35" t="n">
        <f aca="false">IFERROR(F7/E7,0)</f>
        <v>0.375</v>
      </c>
      <c r="H7" s="13" t="s">
        <v>578</v>
      </c>
      <c r="I7" s="13" t="s">
        <v>579</v>
      </c>
    </row>
    <row r="8" customFormat="false" ht="15" hidden="false" customHeight="false" outlineLevel="0" collapsed="false">
      <c r="A8" s="51"/>
      <c r="B8" s="37" t="s">
        <v>140</v>
      </c>
      <c r="C8" s="51"/>
      <c r="D8" s="51"/>
      <c r="E8" s="37" t="n">
        <f aca="false">SUM(E4:E7)</f>
        <v>39</v>
      </c>
      <c r="F8" s="37" t="n">
        <f aca="false">SUM(F4:F7)</f>
        <v>9</v>
      </c>
      <c r="G8" s="38" t="n">
        <f aca="false">IFERROR(F8/E8,0)</f>
        <v>0.230769230769231</v>
      </c>
      <c r="H8" s="13"/>
      <c r="I8" s="13"/>
    </row>
    <row r="10" customFormat="false" ht="19.5" hidden="false" customHeight="true" outlineLevel="0" collapsed="false">
      <c r="A10" s="28" t="s">
        <v>580</v>
      </c>
      <c r="B10" s="28"/>
      <c r="C10" s="28"/>
      <c r="D10" s="28"/>
      <c r="E10" s="28"/>
      <c r="F10" s="28"/>
      <c r="G10" s="28"/>
      <c r="H10" s="28"/>
      <c r="I10" s="28"/>
    </row>
    <row r="11" customFormat="false" ht="30" hidden="false" customHeight="true" outlineLevel="0" collapsed="false">
      <c r="A11" s="12" t="s">
        <v>142</v>
      </c>
      <c r="B11" s="12" t="s">
        <v>581</v>
      </c>
      <c r="C11" s="12" t="s">
        <v>321</v>
      </c>
      <c r="D11" s="12" t="s">
        <v>231</v>
      </c>
      <c r="E11" s="12"/>
      <c r="F11" s="12"/>
      <c r="G11" s="12"/>
      <c r="H11" s="12"/>
      <c r="I11" s="12"/>
    </row>
    <row r="12" customFormat="false" ht="35.05" hidden="false" customHeight="false" outlineLevel="0" collapsed="false">
      <c r="A12" s="13" t="n">
        <v>1</v>
      </c>
      <c r="B12" s="13" t="s">
        <v>582</v>
      </c>
      <c r="C12" s="13" t="s">
        <v>583</v>
      </c>
      <c r="D12" s="13" t="s">
        <v>584</v>
      </c>
      <c r="E12" s="13"/>
      <c r="F12" s="13"/>
      <c r="G12" s="13"/>
      <c r="H12" s="13"/>
      <c r="I12" s="13"/>
    </row>
    <row r="13" customFormat="false" ht="35.05" hidden="false" customHeight="false" outlineLevel="0" collapsed="false">
      <c r="A13" s="13" t="n">
        <v>2</v>
      </c>
      <c r="B13" s="13" t="s">
        <v>585</v>
      </c>
      <c r="C13" s="13" t="s">
        <v>586</v>
      </c>
      <c r="D13" s="13" t="s">
        <v>243</v>
      </c>
      <c r="E13" s="13"/>
      <c r="F13" s="13"/>
      <c r="G13" s="13"/>
      <c r="H13" s="13"/>
      <c r="I13" s="13"/>
    </row>
    <row r="14" customFormat="false" ht="35.05" hidden="false" customHeight="false" outlineLevel="0" collapsed="false">
      <c r="A14" s="13" t="n">
        <v>3</v>
      </c>
      <c r="B14" s="13" t="s">
        <v>587</v>
      </c>
      <c r="C14" s="13" t="s">
        <v>67</v>
      </c>
      <c r="D14" s="13" t="s">
        <v>588</v>
      </c>
      <c r="E14" s="13"/>
      <c r="F14" s="13"/>
      <c r="G14" s="13"/>
      <c r="H14" s="13"/>
      <c r="I14" s="13"/>
    </row>
    <row r="15" customFormat="false" ht="23.85" hidden="false" customHeight="false" outlineLevel="0" collapsed="false">
      <c r="A15" s="13" t="n">
        <v>4</v>
      </c>
      <c r="B15" s="13" t="s">
        <v>589</v>
      </c>
      <c r="C15" s="13" t="s">
        <v>590</v>
      </c>
      <c r="D15" s="13" t="s">
        <v>591</v>
      </c>
      <c r="E15" s="13"/>
      <c r="F15" s="13"/>
      <c r="G15" s="13"/>
      <c r="H15" s="13"/>
      <c r="I15" s="13"/>
    </row>
    <row r="16" customFormat="false" ht="23.85" hidden="false" customHeight="false" outlineLevel="0" collapsed="false">
      <c r="A16" s="13" t="n">
        <v>5</v>
      </c>
      <c r="B16" s="13" t="s">
        <v>592</v>
      </c>
      <c r="C16" s="13" t="s">
        <v>67</v>
      </c>
      <c r="D16" s="13" t="s">
        <v>593</v>
      </c>
      <c r="E16" s="13"/>
      <c r="F16" s="13"/>
      <c r="G16" s="13"/>
      <c r="H16" s="13"/>
      <c r="I16" s="13"/>
    </row>
    <row r="17" customFormat="false" ht="23.85" hidden="false" customHeight="false" outlineLevel="0" collapsed="false">
      <c r="A17" s="13" t="n">
        <v>6</v>
      </c>
      <c r="B17" s="13" t="s">
        <v>594</v>
      </c>
      <c r="C17" s="13" t="s">
        <v>595</v>
      </c>
      <c r="D17" s="13" t="s">
        <v>596</v>
      </c>
      <c r="E17" s="13"/>
      <c r="F17" s="13"/>
      <c r="G17" s="13"/>
      <c r="H17" s="13"/>
      <c r="I17" s="13"/>
    </row>
    <row r="18" customFormat="false" ht="23.85" hidden="false" customHeight="false" outlineLevel="0" collapsed="false">
      <c r="A18" s="13" t="n">
        <v>7</v>
      </c>
      <c r="B18" s="13" t="s">
        <v>597</v>
      </c>
      <c r="C18" s="13" t="s">
        <v>71</v>
      </c>
      <c r="D18" s="13" t="s">
        <v>598</v>
      </c>
      <c r="E18" s="13"/>
      <c r="F18" s="13"/>
      <c r="G18" s="13"/>
      <c r="H18" s="13"/>
      <c r="I18" s="13"/>
    </row>
    <row r="19" customFormat="false" ht="23.85" hidden="false" customHeight="false" outlineLevel="0" collapsed="false">
      <c r="A19" s="13" t="n">
        <v>8</v>
      </c>
      <c r="B19" s="13" t="s">
        <v>599</v>
      </c>
      <c r="C19" s="13" t="s">
        <v>67</v>
      </c>
      <c r="D19" s="13" t="s">
        <v>600</v>
      </c>
      <c r="E19" s="13"/>
      <c r="F19" s="13"/>
      <c r="G19" s="13"/>
      <c r="H19" s="13"/>
      <c r="I19" s="13"/>
    </row>
    <row r="21" customFormat="false" ht="45" hidden="false" customHeight="true" outlineLevel="0" collapsed="false">
      <c r="A21" s="21" t="s">
        <v>601</v>
      </c>
      <c r="B21" s="21"/>
      <c r="C21" s="21"/>
      <c r="D21" s="21"/>
      <c r="E21" s="21"/>
      <c r="F21" s="21"/>
      <c r="G21" s="21"/>
      <c r="H21" s="21"/>
      <c r="I21" s="21"/>
    </row>
  </sheetData>
  <mergeCells count="4">
    <mergeCell ref="A1:I1"/>
    <mergeCell ref="A2:I2"/>
    <mergeCell ref="A10:I10"/>
    <mergeCell ref="A21: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7" min="2" style="0" width="15"/>
    <col collapsed="false" customWidth="true" hidden="false" outlineLevel="0" max="8" min="8" style="0" width="5"/>
    <col collapsed="false" customWidth="true" hidden="false" outlineLevel="0" max="14" min="9" style="0" width="15"/>
  </cols>
  <sheetData>
    <row r="1" customFormat="false" ht="25.5" hidden="false" customHeight="true" outlineLevel="0" collapsed="false">
      <c r="A1" s="1" t="s">
        <v>602</v>
      </c>
      <c r="B1" s="1"/>
      <c r="C1" s="1"/>
      <c r="D1" s="1"/>
      <c r="E1" s="1"/>
      <c r="F1" s="1"/>
      <c r="G1" s="1"/>
      <c r="H1" s="1"/>
      <c r="I1" s="1"/>
      <c r="J1" s="1"/>
      <c r="K1" s="1"/>
      <c r="L1" s="1"/>
      <c r="M1" s="1"/>
      <c r="N1" s="1"/>
    </row>
    <row r="3" customFormat="false" ht="21.75" hidden="false" customHeight="true" outlineLevel="0" collapsed="false">
      <c r="B3" s="52" t="s">
        <v>603</v>
      </c>
      <c r="C3" s="52"/>
      <c r="D3" s="52"/>
      <c r="E3" s="52"/>
      <c r="F3" s="52"/>
      <c r="G3" s="52"/>
      <c r="I3" s="52" t="s">
        <v>604</v>
      </c>
      <c r="J3" s="52"/>
      <c r="K3" s="52"/>
      <c r="L3" s="52"/>
      <c r="M3" s="52"/>
      <c r="N3" s="52"/>
    </row>
    <row r="5" customFormat="false" ht="21.75" hidden="false" customHeight="true" outlineLevel="0" collapsed="false">
      <c r="B5" s="53" t="s">
        <v>605</v>
      </c>
      <c r="C5" s="53"/>
      <c r="D5" s="53"/>
      <c r="E5" s="53"/>
      <c r="F5" s="53"/>
      <c r="G5" s="53"/>
      <c r="H5" s="54" t="s">
        <v>606</v>
      </c>
      <c r="I5" s="55" t="s">
        <v>607</v>
      </c>
      <c r="J5" s="55"/>
      <c r="K5" s="55"/>
      <c r="L5" s="55"/>
      <c r="M5" s="55"/>
      <c r="N5" s="55"/>
    </row>
    <row r="6" customFormat="false" ht="15.75" hidden="false" customHeight="true" outlineLevel="0" collapsed="false">
      <c r="B6" s="56" t="s">
        <v>608</v>
      </c>
      <c r="C6" s="56"/>
      <c r="D6" s="56"/>
      <c r="E6" s="56"/>
      <c r="F6" s="56"/>
      <c r="G6" s="56"/>
      <c r="H6" s="54"/>
      <c r="I6" s="57" t="s">
        <v>609</v>
      </c>
      <c r="J6" s="57"/>
      <c r="K6" s="57"/>
      <c r="L6" s="57"/>
      <c r="M6" s="57"/>
      <c r="N6" s="57"/>
    </row>
    <row r="7" customFormat="false" ht="19.5" hidden="false" customHeight="true" outlineLevel="0" collapsed="false">
      <c r="B7" s="58" t="s">
        <v>610</v>
      </c>
      <c r="C7" s="58"/>
      <c r="D7" s="59" t="s">
        <v>611</v>
      </c>
      <c r="E7" s="59"/>
      <c r="F7" s="60" t="s">
        <v>612</v>
      </c>
      <c r="G7" s="60"/>
      <c r="H7" s="54"/>
      <c r="I7" s="61" t="s">
        <v>613</v>
      </c>
      <c r="J7" s="61"/>
      <c r="K7" s="62" t="s">
        <v>614</v>
      </c>
      <c r="L7" s="62"/>
      <c r="M7" s="63" t="s">
        <v>615</v>
      </c>
      <c r="N7" s="63"/>
    </row>
    <row r="8" customFormat="false" ht="19.5" hidden="false" customHeight="true" outlineLevel="0" collapsed="false">
      <c r="B8" s="58" t="s">
        <v>616</v>
      </c>
      <c r="C8" s="58"/>
      <c r="D8" s="59" t="s">
        <v>617</v>
      </c>
      <c r="E8" s="59"/>
      <c r="F8" s="64" t="s">
        <v>618</v>
      </c>
      <c r="G8" s="64"/>
      <c r="H8" s="54"/>
      <c r="I8" s="65" t="s">
        <v>619</v>
      </c>
      <c r="J8" s="65"/>
      <c r="K8" s="66" t="s">
        <v>620</v>
      </c>
      <c r="L8" s="66"/>
      <c r="M8" s="67" t="s">
        <v>621</v>
      </c>
      <c r="N8" s="67"/>
    </row>
    <row r="9" customFormat="false" ht="19.5" hidden="false" customHeight="true" outlineLevel="0" collapsed="false">
      <c r="B9" s="58" t="s">
        <v>622</v>
      </c>
      <c r="C9" s="58"/>
      <c r="D9" s="59" t="s">
        <v>623</v>
      </c>
      <c r="E9" s="59"/>
      <c r="F9" s="60" t="s">
        <v>624</v>
      </c>
      <c r="G9" s="60"/>
      <c r="H9" s="54"/>
    </row>
    <row r="10" customFormat="false" ht="21.75" hidden="false" customHeight="true" outlineLevel="0" collapsed="false">
      <c r="B10" s="68" t="s">
        <v>625</v>
      </c>
      <c r="C10" s="68"/>
      <c r="D10" s="69"/>
      <c r="E10" s="69"/>
      <c r="F10" s="70"/>
      <c r="G10" s="70"/>
      <c r="H10" s="54"/>
      <c r="I10" s="71" t="s">
        <v>626</v>
      </c>
      <c r="J10" s="71"/>
      <c r="K10" s="71"/>
      <c r="L10" s="71"/>
      <c r="M10" s="71"/>
      <c r="N10" s="71"/>
    </row>
    <row r="11" customFormat="false" ht="15.75" hidden="false" customHeight="true" outlineLevel="0" collapsed="false">
      <c r="H11" s="54"/>
      <c r="I11" s="72" t="s">
        <v>627</v>
      </c>
      <c r="J11" s="72"/>
      <c r="K11" s="72"/>
      <c r="L11" s="72"/>
      <c r="M11" s="72"/>
      <c r="N11" s="72"/>
    </row>
    <row r="12" customFormat="false" ht="19.5" hidden="false" customHeight="true" outlineLevel="0" collapsed="false">
      <c r="B12" s="73" t="s">
        <v>628</v>
      </c>
      <c r="C12" s="73"/>
      <c r="D12" s="73"/>
      <c r="E12" s="73"/>
      <c r="F12" s="73"/>
      <c r="G12" s="73"/>
      <c r="H12" s="54"/>
      <c r="I12" s="61" t="s">
        <v>629</v>
      </c>
      <c r="J12" s="61"/>
      <c r="K12" s="62" t="s">
        <v>630</v>
      </c>
      <c r="L12" s="62"/>
      <c r="M12" s="64" t="s">
        <v>631</v>
      </c>
      <c r="N12" s="64"/>
    </row>
    <row r="13" customFormat="false" ht="19.5" hidden="false" customHeight="true" outlineLevel="0" collapsed="false">
      <c r="B13" s="56" t="s">
        <v>608</v>
      </c>
      <c r="C13" s="56"/>
      <c r="D13" s="56"/>
      <c r="E13" s="56"/>
      <c r="F13" s="56"/>
      <c r="G13" s="56"/>
      <c r="H13" s="54"/>
      <c r="I13" s="74" t="s">
        <v>632</v>
      </c>
      <c r="J13" s="74"/>
      <c r="K13" s="75" t="s">
        <v>633</v>
      </c>
      <c r="L13" s="75"/>
      <c r="M13" s="76" t="s">
        <v>634</v>
      </c>
      <c r="N13" s="76"/>
    </row>
    <row r="14" customFormat="false" ht="19.5" hidden="false" customHeight="true" outlineLevel="0" collapsed="false">
      <c r="B14" s="61" t="s">
        <v>635</v>
      </c>
      <c r="C14" s="61"/>
      <c r="D14" s="62" t="s">
        <v>636</v>
      </c>
      <c r="E14" s="62"/>
      <c r="F14" s="64" t="s">
        <v>637</v>
      </c>
      <c r="G14" s="64"/>
      <c r="H14" s="54"/>
      <c r="I14" s="77" t="s">
        <v>638</v>
      </c>
      <c r="J14" s="77"/>
      <c r="K14" s="78" t="s">
        <v>639</v>
      </c>
      <c r="L14" s="78"/>
      <c r="M14" s="70"/>
      <c r="N14" s="70"/>
    </row>
    <row r="15" customFormat="false" ht="19.5" hidden="false" customHeight="true" outlineLevel="0" collapsed="false">
      <c r="B15" s="79" t="s">
        <v>640</v>
      </c>
      <c r="C15" s="79"/>
      <c r="D15" s="80" t="s">
        <v>641</v>
      </c>
      <c r="E15" s="80"/>
      <c r="F15" s="81" t="s">
        <v>642</v>
      </c>
      <c r="G15" s="81"/>
      <c r="H15" s="54"/>
    </row>
    <row r="16" customFormat="false" ht="19.5" hidden="false" customHeight="true" outlineLevel="0" collapsed="false">
      <c r="B16" s="79" t="s">
        <v>643</v>
      </c>
      <c r="C16" s="79"/>
      <c r="D16" s="80" t="s">
        <v>644</v>
      </c>
      <c r="E16" s="80"/>
      <c r="F16" s="81" t="s">
        <v>645</v>
      </c>
      <c r="G16" s="81"/>
      <c r="H16" s="54"/>
    </row>
    <row r="17" customFormat="false" ht="19.5" hidden="false" customHeight="true" outlineLevel="0" collapsed="false">
      <c r="B17" s="79" t="s">
        <v>646</v>
      </c>
      <c r="C17" s="79"/>
      <c r="D17" s="80" t="s">
        <v>647</v>
      </c>
      <c r="E17" s="80"/>
      <c r="F17" s="81" t="s">
        <v>648</v>
      </c>
      <c r="G17" s="81"/>
      <c r="H17" s="54"/>
    </row>
    <row r="18" customFormat="false" ht="19.5" hidden="false" customHeight="true" outlineLevel="0" collapsed="false">
      <c r="B18" s="82" t="s">
        <v>649</v>
      </c>
      <c r="C18" s="82"/>
      <c r="D18" s="83" t="s">
        <v>650</v>
      </c>
      <c r="E18" s="83"/>
      <c r="F18" s="84" t="s">
        <v>651</v>
      </c>
      <c r="G18" s="84"/>
      <c r="H18" s="54"/>
    </row>
    <row r="21" customFormat="false" ht="15" hidden="false" customHeight="false" outlineLevel="0" collapsed="false">
      <c r="B21" s="10" t="s">
        <v>652</v>
      </c>
    </row>
    <row r="22" customFormat="false" ht="15" hidden="false" customHeight="false" outlineLevel="0" collapsed="false">
      <c r="B22" s="85" t="s">
        <v>23</v>
      </c>
      <c r="C22" s="86" t="s">
        <v>653</v>
      </c>
      <c r="D22" s="86"/>
      <c r="E22" s="86"/>
      <c r="F22" s="86"/>
    </row>
    <row r="23" customFormat="false" ht="15" hidden="false" customHeight="false" outlineLevel="0" collapsed="false">
      <c r="B23" s="87" t="s">
        <v>27</v>
      </c>
      <c r="C23" s="86" t="s">
        <v>654</v>
      </c>
      <c r="D23" s="86"/>
      <c r="E23" s="86"/>
      <c r="F23" s="86"/>
    </row>
    <row r="24" customFormat="false" ht="15" hidden="false" customHeight="false" outlineLevel="0" collapsed="false">
      <c r="B24" s="88" t="s">
        <v>29</v>
      </c>
      <c r="C24" s="86" t="s">
        <v>655</v>
      </c>
      <c r="D24" s="86"/>
      <c r="E24" s="86"/>
      <c r="F24" s="86"/>
    </row>
    <row r="25" customFormat="false" ht="15" hidden="false" customHeight="false" outlineLevel="0" collapsed="false">
      <c r="B25" s="89" t="s">
        <v>33</v>
      </c>
      <c r="C25" s="86" t="s">
        <v>656</v>
      </c>
      <c r="D25" s="86"/>
      <c r="E25" s="86"/>
      <c r="F25" s="86"/>
    </row>
    <row r="26" customFormat="false" ht="15" hidden="false" customHeight="false" outlineLevel="0" collapsed="false">
      <c r="B26" s="25" t="s">
        <v>657</v>
      </c>
      <c r="C26" s="86" t="s">
        <v>658</v>
      </c>
      <c r="D26" s="86"/>
      <c r="E26" s="86"/>
      <c r="F26" s="86"/>
    </row>
    <row r="27" customFormat="false" ht="15" hidden="false" customHeight="false" outlineLevel="0" collapsed="false">
      <c r="B27" s="90" t="s">
        <v>659</v>
      </c>
      <c r="C27" s="86" t="s">
        <v>660</v>
      </c>
      <c r="D27" s="86"/>
      <c r="E27" s="86"/>
      <c r="F27" s="86"/>
    </row>
    <row r="29" customFormat="false" ht="15" hidden="false" customHeight="true" outlineLevel="0" collapsed="false">
      <c r="B29" s="91" t="s">
        <v>661</v>
      </c>
      <c r="C29" s="91"/>
      <c r="D29" s="91"/>
      <c r="E29" s="91"/>
      <c r="F29" s="91"/>
      <c r="G29" s="91"/>
      <c r="H29" s="91"/>
      <c r="I29" s="91"/>
      <c r="J29" s="91"/>
      <c r="K29" s="91"/>
      <c r="L29" s="91"/>
      <c r="M29" s="91"/>
    </row>
    <row r="30" customFormat="false" ht="15" hidden="false" customHeight="false" outlineLevel="0" collapsed="false">
      <c r="B30" s="91"/>
      <c r="C30" s="91"/>
      <c r="D30" s="91"/>
      <c r="E30" s="91"/>
      <c r="F30" s="91"/>
      <c r="G30" s="91"/>
      <c r="H30" s="91"/>
      <c r="I30" s="91"/>
      <c r="J30" s="91"/>
      <c r="K30" s="91"/>
      <c r="L30" s="91"/>
      <c r="M30" s="91"/>
    </row>
    <row r="31" customFormat="false" ht="15" hidden="false" customHeight="false" outlineLevel="0" collapsed="false">
      <c r="B31" s="91"/>
      <c r="C31" s="91"/>
      <c r="D31" s="91"/>
      <c r="E31" s="91"/>
      <c r="F31" s="91"/>
      <c r="G31" s="91"/>
      <c r="H31" s="91"/>
      <c r="I31" s="91"/>
      <c r="J31" s="91"/>
      <c r="K31" s="91"/>
      <c r="L31" s="91"/>
      <c r="M31" s="91"/>
    </row>
    <row r="32" customFormat="false" ht="15" hidden="false" customHeight="false" outlineLevel="0" collapsed="false">
      <c r="B32" s="91"/>
      <c r="C32" s="91"/>
      <c r="D32" s="91"/>
      <c r="E32" s="91"/>
      <c r="F32" s="91"/>
      <c r="G32" s="91"/>
      <c r="H32" s="91"/>
      <c r="I32" s="91"/>
      <c r="J32" s="91"/>
      <c r="K32" s="91"/>
      <c r="L32" s="91"/>
      <c r="M32" s="91"/>
    </row>
  </sheetData>
  <mergeCells count="61">
    <mergeCell ref="A1:N1"/>
    <mergeCell ref="B3:G3"/>
    <mergeCell ref="I3:N3"/>
    <mergeCell ref="B5:G5"/>
    <mergeCell ref="H5:H18"/>
    <mergeCell ref="I5:N5"/>
    <mergeCell ref="B6:G6"/>
    <mergeCell ref="I6:N6"/>
    <mergeCell ref="B7:C7"/>
    <mergeCell ref="D7:E7"/>
    <mergeCell ref="F7:G7"/>
    <mergeCell ref="I7:J7"/>
    <mergeCell ref="K7:L7"/>
    <mergeCell ref="M7:N7"/>
    <mergeCell ref="B8:C8"/>
    <mergeCell ref="D8:E8"/>
    <mergeCell ref="F8:G8"/>
    <mergeCell ref="I8:J8"/>
    <mergeCell ref="K8:L8"/>
    <mergeCell ref="M8:N8"/>
    <mergeCell ref="B9:C9"/>
    <mergeCell ref="D9:E9"/>
    <mergeCell ref="F9:G9"/>
    <mergeCell ref="B10:C10"/>
    <mergeCell ref="D10:E10"/>
    <mergeCell ref="F10:G10"/>
    <mergeCell ref="I10:N10"/>
    <mergeCell ref="I11:N11"/>
    <mergeCell ref="B12:G12"/>
    <mergeCell ref="I12:J12"/>
    <mergeCell ref="K12:L12"/>
    <mergeCell ref="M12:N12"/>
    <mergeCell ref="B13:G13"/>
    <mergeCell ref="I13:J13"/>
    <mergeCell ref="K13:L13"/>
    <mergeCell ref="M13:N13"/>
    <mergeCell ref="B14:C14"/>
    <mergeCell ref="D14:E14"/>
    <mergeCell ref="F14:G14"/>
    <mergeCell ref="I14:J14"/>
    <mergeCell ref="K14:L14"/>
    <mergeCell ref="M14:N14"/>
    <mergeCell ref="B15:C15"/>
    <mergeCell ref="D15:E15"/>
    <mergeCell ref="F15:G15"/>
    <mergeCell ref="B16:C16"/>
    <mergeCell ref="D16:E16"/>
    <mergeCell ref="F16:G16"/>
    <mergeCell ref="B17:C17"/>
    <mergeCell ref="D17:E17"/>
    <mergeCell ref="F17:G17"/>
    <mergeCell ref="B18:C18"/>
    <mergeCell ref="D18:E18"/>
    <mergeCell ref="F18:G18"/>
    <mergeCell ref="C22:F22"/>
    <mergeCell ref="C23:F23"/>
    <mergeCell ref="C24:F24"/>
    <mergeCell ref="C25:F25"/>
    <mergeCell ref="C26:F26"/>
    <mergeCell ref="C27:F27"/>
    <mergeCell ref="B29:M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22"/>
    <col collapsed="false" customWidth="true" hidden="false" outlineLevel="0" max="4" min="4" style="0" width="11"/>
    <col collapsed="false" customWidth="true" hidden="false" outlineLevel="0" max="5" min="5" style="0" width="20"/>
    <col collapsed="false" customWidth="true" hidden="false" outlineLevel="0" max="6" min="6" style="0" width="10"/>
    <col collapsed="false" customWidth="true" hidden="false" outlineLevel="0" max="7" min="7" style="0" width="9"/>
    <col collapsed="false" customWidth="true" hidden="false" outlineLevel="0" max="8" min="8" style="0" width="18"/>
    <col collapsed="false" customWidth="true" hidden="false" outlineLevel="0" max="9" min="9" style="0" width="54"/>
    <col collapsed="false" customWidth="true" hidden="false" outlineLevel="0" max="10" min="10" style="0" width="46"/>
    <col collapsed="false" customWidth="true" hidden="false" outlineLevel="0" max="11" min="11" style="0" width="15"/>
  </cols>
  <sheetData>
    <row r="1" customFormat="false" ht="25.5" hidden="false" customHeight="true" outlineLevel="0" collapsed="false">
      <c r="A1" s="1" t="s">
        <v>662</v>
      </c>
      <c r="B1" s="1"/>
      <c r="C1" s="1"/>
      <c r="D1" s="1"/>
      <c r="E1" s="1"/>
      <c r="F1" s="1"/>
      <c r="G1" s="1"/>
      <c r="H1" s="1"/>
      <c r="I1" s="1"/>
      <c r="J1" s="1"/>
      <c r="K1" s="1"/>
    </row>
    <row r="2" customFormat="false" ht="30" hidden="false" customHeight="true" outlineLevel="0" collapsed="false">
      <c r="A2" s="12" t="s">
        <v>142</v>
      </c>
      <c r="B2" s="12" t="s">
        <v>19</v>
      </c>
      <c r="C2" s="12" t="s">
        <v>663</v>
      </c>
      <c r="D2" s="12" t="s">
        <v>145</v>
      </c>
      <c r="E2" s="12" t="s">
        <v>664</v>
      </c>
      <c r="F2" s="12" t="s">
        <v>665</v>
      </c>
      <c r="G2" s="12" t="s">
        <v>666</v>
      </c>
      <c r="H2" s="12" t="s">
        <v>22</v>
      </c>
      <c r="I2" s="12" t="s">
        <v>667</v>
      </c>
      <c r="J2" s="12" t="s">
        <v>668</v>
      </c>
      <c r="K2" s="12" t="s">
        <v>669</v>
      </c>
    </row>
    <row r="3" customFormat="false" ht="23.85" hidden="false" customHeight="false" outlineLevel="0" collapsed="false">
      <c r="A3" s="13" t="n">
        <v>1</v>
      </c>
      <c r="B3" s="92" t="s">
        <v>670</v>
      </c>
      <c r="C3" s="20" t="s">
        <v>610</v>
      </c>
      <c r="D3" s="93" t="s">
        <v>671</v>
      </c>
      <c r="E3" s="39"/>
      <c r="F3" s="94" t="s">
        <v>48</v>
      </c>
      <c r="G3" s="34" t="n">
        <v>1</v>
      </c>
      <c r="H3" s="95" t="s">
        <v>26</v>
      </c>
      <c r="I3" s="13" t="s">
        <v>672</v>
      </c>
      <c r="J3" s="13" t="s">
        <v>673</v>
      </c>
      <c r="K3" s="39"/>
    </row>
    <row r="4" customFormat="false" ht="15" hidden="false" customHeight="false" outlineLevel="0" collapsed="false">
      <c r="A4" s="13" t="n">
        <v>2</v>
      </c>
      <c r="B4" s="92" t="s">
        <v>670</v>
      </c>
      <c r="C4" s="20" t="s">
        <v>611</v>
      </c>
      <c r="D4" s="93" t="s">
        <v>671</v>
      </c>
      <c r="E4" s="39"/>
      <c r="F4" s="94" t="s">
        <v>48</v>
      </c>
      <c r="G4" s="34" t="n">
        <v>1</v>
      </c>
      <c r="H4" s="95" t="s">
        <v>26</v>
      </c>
      <c r="I4" s="13" t="s">
        <v>674</v>
      </c>
      <c r="J4" s="13" t="s">
        <v>673</v>
      </c>
      <c r="K4" s="39"/>
    </row>
    <row r="5" customFormat="false" ht="15" hidden="false" customHeight="false" outlineLevel="0" collapsed="false">
      <c r="A5" s="13" t="n">
        <v>3</v>
      </c>
      <c r="B5" s="92" t="s">
        <v>670</v>
      </c>
      <c r="C5" s="20" t="s">
        <v>612</v>
      </c>
      <c r="D5" s="93" t="s">
        <v>671</v>
      </c>
      <c r="E5" s="39"/>
      <c r="F5" s="94" t="s">
        <v>48</v>
      </c>
      <c r="G5" s="34" t="n">
        <v>1</v>
      </c>
      <c r="H5" s="95" t="s">
        <v>26</v>
      </c>
      <c r="I5" s="13" t="s">
        <v>675</v>
      </c>
      <c r="J5" s="13" t="s">
        <v>673</v>
      </c>
      <c r="K5" s="39"/>
    </row>
    <row r="6" customFormat="false" ht="15" hidden="false" customHeight="false" outlineLevel="0" collapsed="false">
      <c r="A6" s="13" t="n">
        <v>4</v>
      </c>
      <c r="B6" s="92" t="s">
        <v>670</v>
      </c>
      <c r="C6" s="20" t="s">
        <v>616</v>
      </c>
      <c r="D6" s="93" t="s">
        <v>671</v>
      </c>
      <c r="E6" s="39"/>
      <c r="F6" s="94" t="s">
        <v>48</v>
      </c>
      <c r="G6" s="34" t="n">
        <v>1</v>
      </c>
      <c r="H6" s="95" t="s">
        <v>26</v>
      </c>
      <c r="I6" s="13" t="s">
        <v>676</v>
      </c>
      <c r="J6" s="13" t="s">
        <v>673</v>
      </c>
      <c r="K6" s="39"/>
    </row>
    <row r="7" customFormat="false" ht="15" hidden="false" customHeight="false" outlineLevel="0" collapsed="false">
      <c r="A7" s="13" t="n">
        <v>5</v>
      </c>
      <c r="B7" s="92" t="s">
        <v>670</v>
      </c>
      <c r="C7" s="20" t="s">
        <v>617</v>
      </c>
      <c r="D7" s="93" t="s">
        <v>671</v>
      </c>
      <c r="E7" s="39"/>
      <c r="F7" s="94" t="s">
        <v>48</v>
      </c>
      <c r="G7" s="34" t="n">
        <v>1</v>
      </c>
      <c r="H7" s="95" t="s">
        <v>26</v>
      </c>
      <c r="I7" s="13" t="s">
        <v>677</v>
      </c>
      <c r="J7" s="13" t="s">
        <v>673</v>
      </c>
      <c r="K7" s="39"/>
    </row>
    <row r="8" customFormat="false" ht="23.85" hidden="false" customHeight="false" outlineLevel="0" collapsed="false">
      <c r="A8" s="13" t="n">
        <v>6</v>
      </c>
      <c r="B8" s="92" t="s">
        <v>670</v>
      </c>
      <c r="C8" s="96" t="s">
        <v>618</v>
      </c>
      <c r="D8" s="62" t="s">
        <v>678</v>
      </c>
      <c r="E8" s="39" t="s">
        <v>679</v>
      </c>
      <c r="F8" s="97" t="s">
        <v>680</v>
      </c>
      <c r="G8" s="34" t="s">
        <v>48</v>
      </c>
      <c r="H8" s="95" t="s">
        <v>26</v>
      </c>
      <c r="I8" s="13" t="s">
        <v>681</v>
      </c>
      <c r="J8" s="13" t="s">
        <v>682</v>
      </c>
      <c r="K8" s="39"/>
    </row>
    <row r="9" customFormat="false" ht="15" hidden="false" customHeight="false" outlineLevel="0" collapsed="false">
      <c r="A9" s="13" t="n">
        <v>7</v>
      </c>
      <c r="B9" s="92" t="s">
        <v>670</v>
      </c>
      <c r="C9" s="20" t="s">
        <v>622</v>
      </c>
      <c r="D9" s="93" t="s">
        <v>671</v>
      </c>
      <c r="E9" s="39"/>
      <c r="F9" s="94" t="s">
        <v>48</v>
      </c>
      <c r="G9" s="34" t="n">
        <v>2</v>
      </c>
      <c r="H9" s="95" t="s">
        <v>26</v>
      </c>
      <c r="I9" s="13" t="s">
        <v>683</v>
      </c>
      <c r="J9" s="13" t="s">
        <v>673</v>
      </c>
      <c r="K9" s="39"/>
    </row>
    <row r="10" customFormat="false" ht="15" hidden="false" customHeight="false" outlineLevel="0" collapsed="false">
      <c r="A10" s="13" t="n">
        <v>8</v>
      </c>
      <c r="B10" s="92" t="s">
        <v>670</v>
      </c>
      <c r="C10" s="20" t="s">
        <v>623</v>
      </c>
      <c r="D10" s="93" t="s">
        <v>671</v>
      </c>
      <c r="E10" s="39"/>
      <c r="F10" s="94" t="s">
        <v>48</v>
      </c>
      <c r="G10" s="34" t="n">
        <v>2</v>
      </c>
      <c r="H10" s="95" t="s">
        <v>26</v>
      </c>
      <c r="I10" s="13" t="s">
        <v>684</v>
      </c>
      <c r="J10" s="13" t="s">
        <v>673</v>
      </c>
      <c r="K10" s="39"/>
    </row>
    <row r="11" customFormat="false" ht="23.85" hidden="false" customHeight="false" outlineLevel="0" collapsed="false">
      <c r="A11" s="13" t="n">
        <v>9</v>
      </c>
      <c r="B11" s="92" t="s">
        <v>670</v>
      </c>
      <c r="C11" s="20" t="s">
        <v>624</v>
      </c>
      <c r="D11" s="93" t="s">
        <v>671</v>
      </c>
      <c r="E11" s="39"/>
      <c r="F11" s="94" t="s">
        <v>48</v>
      </c>
      <c r="G11" s="34" t="n">
        <v>2</v>
      </c>
      <c r="H11" s="95" t="s">
        <v>26</v>
      </c>
      <c r="I11" s="13" t="s">
        <v>685</v>
      </c>
      <c r="J11" s="13" t="s">
        <v>673</v>
      </c>
      <c r="K11" s="39"/>
    </row>
    <row r="12" customFormat="false" ht="15" hidden="false" customHeight="false" outlineLevel="0" collapsed="false">
      <c r="A12" s="13" t="n">
        <v>10</v>
      </c>
      <c r="B12" s="92" t="s">
        <v>670</v>
      </c>
      <c r="C12" s="20" t="s">
        <v>625</v>
      </c>
      <c r="D12" s="93" t="s">
        <v>671</v>
      </c>
      <c r="E12" s="39"/>
      <c r="F12" s="94" t="s">
        <v>48</v>
      </c>
      <c r="G12" s="34" t="n">
        <v>3</v>
      </c>
      <c r="H12" s="95" t="s">
        <v>26</v>
      </c>
      <c r="I12" s="13" t="s">
        <v>686</v>
      </c>
      <c r="J12" s="13" t="s">
        <v>673</v>
      </c>
      <c r="K12" s="39"/>
    </row>
    <row r="13" customFormat="false" ht="15" hidden="false" customHeight="false" outlineLevel="0" collapsed="false">
      <c r="A13" s="13" t="n">
        <v>11</v>
      </c>
      <c r="B13" s="98" t="s">
        <v>687</v>
      </c>
      <c r="C13" s="96" t="s">
        <v>635</v>
      </c>
      <c r="D13" s="62" t="s">
        <v>678</v>
      </c>
      <c r="E13" s="39"/>
      <c r="F13" s="18" t="s">
        <v>688</v>
      </c>
      <c r="G13" s="34" t="s">
        <v>48</v>
      </c>
      <c r="H13" s="95" t="s">
        <v>26</v>
      </c>
      <c r="I13" s="13" t="s">
        <v>689</v>
      </c>
      <c r="J13" s="13" t="s">
        <v>690</v>
      </c>
      <c r="K13" s="39"/>
    </row>
    <row r="14" customFormat="false" ht="23.85" hidden="false" customHeight="false" outlineLevel="0" collapsed="false">
      <c r="A14" s="13" t="n">
        <v>12</v>
      </c>
      <c r="B14" s="98" t="s">
        <v>687</v>
      </c>
      <c r="C14" s="96" t="s">
        <v>636</v>
      </c>
      <c r="D14" s="62" t="s">
        <v>678</v>
      </c>
      <c r="E14" s="39" t="s">
        <v>691</v>
      </c>
      <c r="F14" s="44" t="s">
        <v>692</v>
      </c>
      <c r="G14" s="34" t="s">
        <v>48</v>
      </c>
      <c r="H14" s="95" t="s">
        <v>26</v>
      </c>
      <c r="I14" s="13" t="s">
        <v>693</v>
      </c>
      <c r="J14" s="13" t="s">
        <v>694</v>
      </c>
      <c r="K14" s="39"/>
    </row>
    <row r="15" customFormat="false" ht="15" hidden="false" customHeight="false" outlineLevel="0" collapsed="false">
      <c r="A15" s="13" t="n">
        <v>13</v>
      </c>
      <c r="B15" s="98" t="s">
        <v>687</v>
      </c>
      <c r="C15" s="96" t="s">
        <v>637</v>
      </c>
      <c r="D15" s="62" t="s">
        <v>678</v>
      </c>
      <c r="E15" s="39"/>
      <c r="F15" s="97" t="s">
        <v>680</v>
      </c>
      <c r="G15" s="34" t="s">
        <v>48</v>
      </c>
      <c r="H15" s="95" t="s">
        <v>26</v>
      </c>
      <c r="I15" s="13" t="s">
        <v>695</v>
      </c>
      <c r="J15" s="13" t="s">
        <v>696</v>
      </c>
      <c r="K15" s="39"/>
    </row>
    <row r="16" customFormat="false" ht="15" hidden="false" customHeight="false" outlineLevel="0" collapsed="false">
      <c r="A16" s="13" t="n">
        <v>14</v>
      </c>
      <c r="B16" s="98" t="s">
        <v>687</v>
      </c>
      <c r="C16" s="20" t="s">
        <v>640</v>
      </c>
      <c r="D16" s="93" t="s">
        <v>671</v>
      </c>
      <c r="E16" s="39"/>
      <c r="F16" s="94" t="s">
        <v>48</v>
      </c>
      <c r="G16" s="34" t="n">
        <v>1</v>
      </c>
      <c r="H16" s="95" t="s">
        <v>26</v>
      </c>
      <c r="I16" s="13" t="s">
        <v>697</v>
      </c>
      <c r="J16" s="13" t="s">
        <v>673</v>
      </c>
      <c r="K16" s="39"/>
    </row>
    <row r="17" customFormat="false" ht="15" hidden="false" customHeight="false" outlineLevel="0" collapsed="false">
      <c r="A17" s="13" t="n">
        <v>15</v>
      </c>
      <c r="B17" s="98" t="s">
        <v>687</v>
      </c>
      <c r="C17" s="20" t="s">
        <v>641</v>
      </c>
      <c r="D17" s="93" t="s">
        <v>671</v>
      </c>
      <c r="E17" s="39"/>
      <c r="F17" s="94" t="s">
        <v>48</v>
      </c>
      <c r="G17" s="34" t="n">
        <v>1</v>
      </c>
      <c r="H17" s="95" t="s">
        <v>26</v>
      </c>
      <c r="I17" s="13" t="s">
        <v>698</v>
      </c>
      <c r="J17" s="13" t="s">
        <v>673</v>
      </c>
      <c r="K17" s="39"/>
    </row>
    <row r="18" customFormat="false" ht="15" hidden="false" customHeight="false" outlineLevel="0" collapsed="false">
      <c r="A18" s="13" t="n">
        <v>16</v>
      </c>
      <c r="B18" s="98" t="s">
        <v>687</v>
      </c>
      <c r="C18" s="20" t="s">
        <v>642</v>
      </c>
      <c r="D18" s="93" t="s">
        <v>671</v>
      </c>
      <c r="E18" s="39"/>
      <c r="F18" s="94" t="s">
        <v>48</v>
      </c>
      <c r="G18" s="34" t="n">
        <v>1</v>
      </c>
      <c r="H18" s="95" t="s">
        <v>26</v>
      </c>
      <c r="I18" s="13" t="s">
        <v>699</v>
      </c>
      <c r="J18" s="13" t="s">
        <v>673</v>
      </c>
      <c r="K18" s="39"/>
    </row>
    <row r="19" customFormat="false" ht="15" hidden="false" customHeight="false" outlineLevel="0" collapsed="false">
      <c r="A19" s="13" t="n">
        <v>17</v>
      </c>
      <c r="B19" s="98" t="s">
        <v>687</v>
      </c>
      <c r="C19" s="20" t="s">
        <v>643</v>
      </c>
      <c r="D19" s="93" t="s">
        <v>671</v>
      </c>
      <c r="E19" s="39"/>
      <c r="F19" s="94" t="s">
        <v>48</v>
      </c>
      <c r="G19" s="34" t="n">
        <v>1</v>
      </c>
      <c r="H19" s="95" t="s">
        <v>26</v>
      </c>
      <c r="I19" s="13" t="s">
        <v>700</v>
      </c>
      <c r="J19" s="13" t="s">
        <v>673</v>
      </c>
      <c r="K19" s="39"/>
    </row>
    <row r="20" customFormat="false" ht="15" hidden="false" customHeight="false" outlineLevel="0" collapsed="false">
      <c r="A20" s="13" t="n">
        <v>18</v>
      </c>
      <c r="B20" s="98" t="s">
        <v>687</v>
      </c>
      <c r="C20" s="20" t="s">
        <v>644</v>
      </c>
      <c r="D20" s="93" t="s">
        <v>671</v>
      </c>
      <c r="E20" s="39"/>
      <c r="F20" s="94" t="s">
        <v>48</v>
      </c>
      <c r="G20" s="34" t="n">
        <v>1</v>
      </c>
      <c r="H20" s="95" t="s">
        <v>26</v>
      </c>
      <c r="I20" s="13" t="s">
        <v>701</v>
      </c>
      <c r="J20" s="13" t="s">
        <v>673</v>
      </c>
      <c r="K20" s="39"/>
    </row>
    <row r="21" customFormat="false" ht="15" hidden="false" customHeight="false" outlineLevel="0" collapsed="false">
      <c r="A21" s="13" t="n">
        <v>19</v>
      </c>
      <c r="B21" s="98" t="s">
        <v>687</v>
      </c>
      <c r="C21" s="20" t="s">
        <v>645</v>
      </c>
      <c r="D21" s="93" t="s">
        <v>671</v>
      </c>
      <c r="E21" s="39"/>
      <c r="F21" s="94" t="s">
        <v>48</v>
      </c>
      <c r="G21" s="34" t="n">
        <v>2</v>
      </c>
      <c r="H21" s="95" t="s">
        <v>26</v>
      </c>
      <c r="I21" s="13" t="s">
        <v>702</v>
      </c>
      <c r="J21" s="13" t="s">
        <v>673</v>
      </c>
      <c r="K21" s="39"/>
    </row>
    <row r="22" customFormat="false" ht="15" hidden="false" customHeight="false" outlineLevel="0" collapsed="false">
      <c r="A22" s="13" t="n">
        <v>20</v>
      </c>
      <c r="B22" s="98" t="s">
        <v>687</v>
      </c>
      <c r="C22" s="20" t="s">
        <v>646</v>
      </c>
      <c r="D22" s="93" t="s">
        <v>671</v>
      </c>
      <c r="E22" s="39"/>
      <c r="F22" s="94" t="s">
        <v>48</v>
      </c>
      <c r="G22" s="34" t="n">
        <v>2</v>
      </c>
      <c r="H22" s="95" t="s">
        <v>26</v>
      </c>
      <c r="I22" s="13" t="s">
        <v>703</v>
      </c>
      <c r="J22" s="13" t="s">
        <v>673</v>
      </c>
      <c r="K22" s="39"/>
    </row>
    <row r="23" customFormat="false" ht="15" hidden="false" customHeight="false" outlineLevel="0" collapsed="false">
      <c r="A23" s="13" t="n">
        <v>21</v>
      </c>
      <c r="B23" s="98" t="s">
        <v>687</v>
      </c>
      <c r="C23" s="20" t="s">
        <v>647</v>
      </c>
      <c r="D23" s="93" t="s">
        <v>671</v>
      </c>
      <c r="E23" s="39"/>
      <c r="F23" s="94" t="s">
        <v>48</v>
      </c>
      <c r="G23" s="34" t="n">
        <v>2</v>
      </c>
      <c r="H23" s="95" t="s">
        <v>26</v>
      </c>
      <c r="I23" s="13" t="s">
        <v>704</v>
      </c>
      <c r="J23" s="13" t="s">
        <v>673</v>
      </c>
      <c r="K23" s="39"/>
    </row>
    <row r="24" customFormat="false" ht="15" hidden="false" customHeight="false" outlineLevel="0" collapsed="false">
      <c r="A24" s="13" t="n">
        <v>22</v>
      </c>
      <c r="B24" s="98" t="s">
        <v>687</v>
      </c>
      <c r="C24" s="20" t="s">
        <v>648</v>
      </c>
      <c r="D24" s="93" t="s">
        <v>671</v>
      </c>
      <c r="E24" s="39"/>
      <c r="F24" s="94" t="s">
        <v>48</v>
      </c>
      <c r="G24" s="34" t="n">
        <v>2</v>
      </c>
      <c r="H24" s="95" t="s">
        <v>26</v>
      </c>
      <c r="I24" s="13" t="s">
        <v>705</v>
      </c>
      <c r="J24" s="13" t="s">
        <v>673</v>
      </c>
      <c r="K24" s="39"/>
    </row>
    <row r="25" customFormat="false" ht="15" hidden="false" customHeight="false" outlineLevel="0" collapsed="false">
      <c r="A25" s="13" t="n">
        <v>23</v>
      </c>
      <c r="B25" s="98" t="s">
        <v>687</v>
      </c>
      <c r="C25" s="20" t="s">
        <v>649</v>
      </c>
      <c r="D25" s="93" t="s">
        <v>671</v>
      </c>
      <c r="E25" s="39"/>
      <c r="F25" s="94" t="s">
        <v>48</v>
      </c>
      <c r="G25" s="34" t="n">
        <v>2</v>
      </c>
      <c r="H25" s="95" t="s">
        <v>26</v>
      </c>
      <c r="I25" s="13" t="s">
        <v>706</v>
      </c>
      <c r="J25" s="13" t="s">
        <v>673</v>
      </c>
      <c r="K25" s="39"/>
    </row>
    <row r="26" customFormat="false" ht="15" hidden="false" customHeight="false" outlineLevel="0" collapsed="false">
      <c r="A26" s="13" t="n">
        <v>24</v>
      </c>
      <c r="B26" s="98" t="s">
        <v>687</v>
      </c>
      <c r="C26" s="20" t="s">
        <v>650</v>
      </c>
      <c r="D26" s="93" t="s">
        <v>671</v>
      </c>
      <c r="E26" s="39"/>
      <c r="F26" s="94" t="s">
        <v>48</v>
      </c>
      <c r="G26" s="34" t="n">
        <v>3</v>
      </c>
      <c r="H26" s="95" t="s">
        <v>26</v>
      </c>
      <c r="I26" s="13" t="s">
        <v>707</v>
      </c>
      <c r="J26" s="13" t="s">
        <v>673</v>
      </c>
      <c r="K26" s="39"/>
    </row>
    <row r="27" customFormat="false" ht="15" hidden="false" customHeight="false" outlineLevel="0" collapsed="false">
      <c r="A27" s="13" t="n">
        <v>25</v>
      </c>
      <c r="B27" s="98" t="s">
        <v>687</v>
      </c>
      <c r="C27" s="20" t="s">
        <v>651</v>
      </c>
      <c r="D27" s="93" t="s">
        <v>671</v>
      </c>
      <c r="E27" s="39"/>
      <c r="F27" s="94" t="s">
        <v>48</v>
      </c>
      <c r="G27" s="34" t="n">
        <v>3</v>
      </c>
      <c r="H27" s="95" t="s">
        <v>26</v>
      </c>
      <c r="I27" s="13" t="s">
        <v>708</v>
      </c>
      <c r="J27" s="13" t="s">
        <v>673</v>
      </c>
      <c r="K27" s="39"/>
    </row>
    <row r="28" customFormat="false" ht="23.85" hidden="false" customHeight="false" outlineLevel="0" collapsed="false">
      <c r="A28" s="13" t="n">
        <v>26</v>
      </c>
      <c r="B28" s="99" t="s">
        <v>709</v>
      </c>
      <c r="C28" s="96" t="s">
        <v>613</v>
      </c>
      <c r="D28" s="62" t="s">
        <v>678</v>
      </c>
      <c r="E28" s="39"/>
      <c r="F28" s="45" t="s">
        <v>710</v>
      </c>
      <c r="G28" s="34" t="s">
        <v>48</v>
      </c>
      <c r="H28" s="100" t="s">
        <v>32</v>
      </c>
      <c r="I28" s="13" t="s">
        <v>711</v>
      </c>
      <c r="J28" s="13" t="s">
        <v>712</v>
      </c>
      <c r="K28" s="39"/>
    </row>
    <row r="29" customFormat="false" ht="23.85" hidden="false" customHeight="false" outlineLevel="0" collapsed="false">
      <c r="A29" s="13" t="n">
        <v>27</v>
      </c>
      <c r="B29" s="99" t="s">
        <v>709</v>
      </c>
      <c r="C29" s="96" t="s">
        <v>614</v>
      </c>
      <c r="D29" s="62" t="s">
        <v>678</v>
      </c>
      <c r="E29" s="39" t="s">
        <v>713</v>
      </c>
      <c r="F29" s="97" t="s">
        <v>680</v>
      </c>
      <c r="G29" s="34" t="s">
        <v>48</v>
      </c>
      <c r="H29" s="100" t="s">
        <v>32</v>
      </c>
      <c r="I29" s="13" t="s">
        <v>714</v>
      </c>
      <c r="J29" s="13" t="s">
        <v>715</v>
      </c>
      <c r="K29" s="39"/>
    </row>
    <row r="30" customFormat="false" ht="15" hidden="false" customHeight="false" outlineLevel="0" collapsed="false">
      <c r="A30" s="13" t="n">
        <v>28</v>
      </c>
      <c r="B30" s="99" t="s">
        <v>709</v>
      </c>
      <c r="C30" s="20" t="s">
        <v>615</v>
      </c>
      <c r="D30" s="93" t="s">
        <v>671</v>
      </c>
      <c r="E30" s="39"/>
      <c r="F30" s="94" t="s">
        <v>48</v>
      </c>
      <c r="G30" s="34" t="n">
        <v>1</v>
      </c>
      <c r="H30" s="100" t="s">
        <v>32</v>
      </c>
      <c r="I30" s="13" t="s">
        <v>716</v>
      </c>
      <c r="J30" s="13" t="s">
        <v>673</v>
      </c>
      <c r="K30" s="39"/>
    </row>
    <row r="31" customFormat="false" ht="15" hidden="false" customHeight="false" outlineLevel="0" collapsed="false">
      <c r="A31" s="13" t="n">
        <v>29</v>
      </c>
      <c r="B31" s="99" t="s">
        <v>709</v>
      </c>
      <c r="C31" s="20" t="s">
        <v>619</v>
      </c>
      <c r="D31" s="93" t="s">
        <v>671</v>
      </c>
      <c r="E31" s="39"/>
      <c r="F31" s="94" t="s">
        <v>48</v>
      </c>
      <c r="G31" s="34" t="n">
        <v>1</v>
      </c>
      <c r="H31" s="100" t="s">
        <v>32</v>
      </c>
      <c r="I31" s="13" t="s">
        <v>717</v>
      </c>
      <c r="J31" s="13" t="s">
        <v>673</v>
      </c>
      <c r="K31" s="39"/>
    </row>
    <row r="32" customFormat="false" ht="15" hidden="false" customHeight="false" outlineLevel="0" collapsed="false">
      <c r="A32" s="13" t="n">
        <v>30</v>
      </c>
      <c r="B32" s="99" t="s">
        <v>709</v>
      </c>
      <c r="C32" s="20" t="s">
        <v>620</v>
      </c>
      <c r="D32" s="93" t="s">
        <v>671</v>
      </c>
      <c r="E32" s="39"/>
      <c r="F32" s="94" t="s">
        <v>48</v>
      </c>
      <c r="G32" s="34" t="n">
        <v>1</v>
      </c>
      <c r="H32" s="100" t="s">
        <v>32</v>
      </c>
      <c r="I32" s="13" t="s">
        <v>718</v>
      </c>
      <c r="J32" s="13" t="s">
        <v>673</v>
      </c>
      <c r="K32" s="39"/>
    </row>
    <row r="33" customFormat="false" ht="15" hidden="false" customHeight="false" outlineLevel="0" collapsed="false">
      <c r="A33" s="13" t="n">
        <v>31</v>
      </c>
      <c r="B33" s="99" t="s">
        <v>709</v>
      </c>
      <c r="C33" s="20" t="s">
        <v>621</v>
      </c>
      <c r="D33" s="93" t="s">
        <v>671</v>
      </c>
      <c r="E33" s="39"/>
      <c r="F33" s="94" t="s">
        <v>48</v>
      </c>
      <c r="G33" s="34" t="n">
        <v>2</v>
      </c>
      <c r="H33" s="100" t="s">
        <v>32</v>
      </c>
      <c r="I33" s="13" t="s">
        <v>719</v>
      </c>
      <c r="J33" s="13" t="s">
        <v>673</v>
      </c>
      <c r="K33" s="39"/>
    </row>
    <row r="34" customFormat="false" ht="23.85" hidden="false" customHeight="false" outlineLevel="0" collapsed="false">
      <c r="A34" s="13" t="n">
        <v>32</v>
      </c>
      <c r="B34" s="101" t="s">
        <v>720</v>
      </c>
      <c r="C34" s="96" t="s">
        <v>629</v>
      </c>
      <c r="D34" s="62" t="s">
        <v>678</v>
      </c>
      <c r="E34" s="39"/>
      <c r="F34" s="18" t="s">
        <v>688</v>
      </c>
      <c r="G34" s="34" t="s">
        <v>48</v>
      </c>
      <c r="H34" s="100" t="s">
        <v>35</v>
      </c>
      <c r="I34" s="13" t="s">
        <v>721</v>
      </c>
      <c r="J34" s="13" t="s">
        <v>722</v>
      </c>
      <c r="K34" s="39"/>
    </row>
    <row r="35" customFormat="false" ht="23.85" hidden="false" customHeight="false" outlineLevel="0" collapsed="false">
      <c r="A35" s="13" t="n">
        <v>33</v>
      </c>
      <c r="B35" s="101" t="s">
        <v>720</v>
      </c>
      <c r="C35" s="96" t="s">
        <v>630</v>
      </c>
      <c r="D35" s="62" t="s">
        <v>678</v>
      </c>
      <c r="E35" s="39"/>
      <c r="F35" s="18" t="s">
        <v>688</v>
      </c>
      <c r="G35" s="34" t="s">
        <v>48</v>
      </c>
      <c r="H35" s="100" t="s">
        <v>35</v>
      </c>
      <c r="I35" s="13" t="s">
        <v>723</v>
      </c>
      <c r="J35" s="13" t="s">
        <v>724</v>
      </c>
      <c r="K35" s="39"/>
    </row>
    <row r="36" customFormat="false" ht="23.85" hidden="false" customHeight="false" outlineLevel="0" collapsed="false">
      <c r="A36" s="13" t="n">
        <v>34</v>
      </c>
      <c r="B36" s="101" t="s">
        <v>720</v>
      </c>
      <c r="C36" s="96" t="s">
        <v>631</v>
      </c>
      <c r="D36" s="62" t="s">
        <v>678</v>
      </c>
      <c r="E36" s="39" t="s">
        <v>725</v>
      </c>
      <c r="F36" s="45" t="s">
        <v>710</v>
      </c>
      <c r="G36" s="34" t="s">
        <v>48</v>
      </c>
      <c r="H36" s="100" t="s">
        <v>35</v>
      </c>
      <c r="I36" s="13" t="s">
        <v>726</v>
      </c>
      <c r="J36" s="13" t="s">
        <v>727</v>
      </c>
      <c r="K36" s="39"/>
    </row>
    <row r="37" customFormat="false" ht="23.85" hidden="false" customHeight="false" outlineLevel="0" collapsed="false">
      <c r="A37" s="13" t="n">
        <v>35</v>
      </c>
      <c r="B37" s="101" t="s">
        <v>720</v>
      </c>
      <c r="C37" s="20" t="s">
        <v>632</v>
      </c>
      <c r="D37" s="93" t="s">
        <v>671</v>
      </c>
      <c r="E37" s="39"/>
      <c r="F37" s="94" t="s">
        <v>48</v>
      </c>
      <c r="G37" s="34" t="n">
        <v>1</v>
      </c>
      <c r="H37" s="100" t="s">
        <v>35</v>
      </c>
      <c r="I37" s="13" t="s">
        <v>728</v>
      </c>
      <c r="J37" s="13" t="s">
        <v>673</v>
      </c>
      <c r="K37" s="39"/>
    </row>
    <row r="38" customFormat="false" ht="23.85" hidden="false" customHeight="false" outlineLevel="0" collapsed="false">
      <c r="A38" s="13" t="n">
        <v>36</v>
      </c>
      <c r="B38" s="101" t="s">
        <v>720</v>
      </c>
      <c r="C38" s="20" t="s">
        <v>633</v>
      </c>
      <c r="D38" s="93" t="s">
        <v>671</v>
      </c>
      <c r="E38" s="39"/>
      <c r="F38" s="94" t="s">
        <v>48</v>
      </c>
      <c r="G38" s="34" t="n">
        <v>1</v>
      </c>
      <c r="H38" s="100" t="s">
        <v>35</v>
      </c>
      <c r="I38" s="13" t="s">
        <v>729</v>
      </c>
      <c r="J38" s="13" t="s">
        <v>673</v>
      </c>
      <c r="K38" s="39"/>
    </row>
    <row r="39" customFormat="false" ht="23.85" hidden="false" customHeight="false" outlineLevel="0" collapsed="false">
      <c r="A39" s="13" t="n">
        <v>37</v>
      </c>
      <c r="B39" s="101" t="s">
        <v>720</v>
      </c>
      <c r="C39" s="20" t="s">
        <v>634</v>
      </c>
      <c r="D39" s="93" t="s">
        <v>671</v>
      </c>
      <c r="E39" s="39"/>
      <c r="F39" s="94" t="s">
        <v>48</v>
      </c>
      <c r="G39" s="34" t="n">
        <v>2</v>
      </c>
      <c r="H39" s="100" t="s">
        <v>35</v>
      </c>
      <c r="I39" s="13" t="s">
        <v>730</v>
      </c>
      <c r="J39" s="13" t="s">
        <v>673</v>
      </c>
      <c r="K39" s="39"/>
    </row>
    <row r="40" customFormat="false" ht="23.85" hidden="false" customHeight="false" outlineLevel="0" collapsed="false">
      <c r="A40" s="13" t="n">
        <v>38</v>
      </c>
      <c r="B40" s="101" t="s">
        <v>720</v>
      </c>
      <c r="C40" s="20" t="s">
        <v>638</v>
      </c>
      <c r="D40" s="93" t="s">
        <v>671</v>
      </c>
      <c r="E40" s="39"/>
      <c r="F40" s="94" t="s">
        <v>48</v>
      </c>
      <c r="G40" s="34" t="n">
        <v>3</v>
      </c>
      <c r="H40" s="100" t="s">
        <v>35</v>
      </c>
      <c r="I40" s="13" t="s">
        <v>731</v>
      </c>
      <c r="J40" s="13" t="s">
        <v>673</v>
      </c>
      <c r="K40" s="39"/>
    </row>
    <row r="41" customFormat="false" ht="23.85" hidden="false" customHeight="false" outlineLevel="0" collapsed="false">
      <c r="A41" s="13" t="n">
        <v>39</v>
      </c>
      <c r="B41" s="101" t="s">
        <v>720</v>
      </c>
      <c r="C41" s="20" t="s">
        <v>639</v>
      </c>
      <c r="D41" s="93" t="s">
        <v>671</v>
      </c>
      <c r="E41" s="39"/>
      <c r="F41" s="94" t="s">
        <v>48</v>
      </c>
      <c r="G41" s="34" t="n">
        <v>3</v>
      </c>
      <c r="H41" s="100" t="s">
        <v>35</v>
      </c>
      <c r="I41" s="13" t="s">
        <v>732</v>
      </c>
      <c r="J41" s="13" t="s">
        <v>673</v>
      </c>
      <c r="K41" s="39"/>
    </row>
    <row r="43" customFormat="false" ht="15" hidden="false" customHeight="false" outlineLevel="0" collapsed="false">
      <c r="B43" s="90" t="s">
        <v>733</v>
      </c>
      <c r="C43" s="102" t="n">
        <f aca="false">COUNTA(C3:C41)</f>
        <v>39</v>
      </c>
    </row>
    <row r="44" customFormat="false" ht="15" hidden="false" customHeight="false" outlineLevel="0" collapsed="false">
      <c r="B44" s="90" t="s">
        <v>734</v>
      </c>
      <c r="C44" s="102" t="n">
        <f aca="false">COUNTIF(D3:D41,"MEVCUT")</f>
        <v>9</v>
      </c>
    </row>
    <row r="45" customFormat="false" ht="15" hidden="false" customHeight="false" outlineLevel="0" collapsed="false">
      <c r="B45" s="90" t="s">
        <v>735</v>
      </c>
      <c r="C45" s="102" t="n">
        <f aca="false">COUNTIF(D3:D41,"HEDEF")</f>
        <v>30</v>
      </c>
    </row>
    <row r="46" customFormat="false" ht="15" hidden="false" customHeight="false" outlineLevel="0" collapsed="false">
      <c r="B46" s="90" t="s">
        <v>736</v>
      </c>
      <c r="C46" s="103" t="n">
        <f aca="false">IFERROR(COUNTIF(D3:D41,"MEVCUT")/COUNTA(C3:C41),0)</f>
        <v>0.230769230769231</v>
      </c>
    </row>
    <row r="47" customFormat="false" ht="15" hidden="false" customHeight="false" outlineLevel="0" collapsed="false">
      <c r="B47" s="90" t="s">
        <v>737</v>
      </c>
      <c r="C47" s="102" t="n">
        <f aca="false">COUNTIFS(D3:D41,"HEDEF",G3:G41,1)</f>
        <v>15</v>
      </c>
    </row>
    <row r="48" customFormat="false" ht="15" hidden="false" customHeight="false" outlineLevel="0" collapsed="false">
      <c r="B48" s="90" t="s">
        <v>738</v>
      </c>
      <c r="C48" s="102" t="n">
        <f aca="false">COUNTIFS(D3:D41,"HEDEF",G3:G41,2)</f>
        <v>10</v>
      </c>
    </row>
    <row r="49" customFormat="false" ht="15" hidden="false" customHeight="false" outlineLevel="0" collapsed="false">
      <c r="B49" s="90" t="s">
        <v>739</v>
      </c>
      <c r="C49" s="102" t="n">
        <f aca="false">COUNTIFS(D3:D41,"HEDEF",G3:G41,3)</f>
        <v>5</v>
      </c>
    </row>
    <row r="50" customFormat="false" ht="15" hidden="false" customHeight="false" outlineLevel="0" collapsed="false">
      <c r="B50" s="90" t="s">
        <v>740</v>
      </c>
      <c r="C50" s="102" t="n">
        <f aca="false">COUNTIF(F3:F41,"KRİTİK")+COUNTIF(F3:F41,"Yüksek")</f>
        <v>5</v>
      </c>
    </row>
    <row r="52" customFormat="false" ht="61.5" hidden="false" customHeight="true" outlineLevel="0" collapsed="false">
      <c r="A52" s="11" t="s">
        <v>741</v>
      </c>
      <c r="B52" s="11"/>
      <c r="C52" s="11"/>
      <c r="D52" s="11"/>
      <c r="E52" s="11"/>
      <c r="F52" s="11"/>
      <c r="G52" s="11"/>
      <c r="H52" s="11"/>
      <c r="I52" s="11"/>
      <c r="J52" s="11"/>
      <c r="K52" s="11"/>
    </row>
  </sheetData>
  <mergeCells count="2">
    <mergeCell ref="A1:K1"/>
    <mergeCell ref="A52:K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20"/>
    <col collapsed="false" customWidth="true" hidden="false" outlineLevel="0" max="4" min="4" style="0" width="6"/>
    <col collapsed="false" customWidth="true" hidden="false" outlineLevel="0" max="6" min="5" style="0" width="22"/>
    <col collapsed="false" customWidth="true" hidden="false" outlineLevel="0" max="7" min="7" style="0" width="12"/>
    <col collapsed="false" customWidth="true" hidden="false" outlineLevel="0" max="8" min="8" style="0" width="46"/>
    <col collapsed="false" customWidth="true" hidden="false" outlineLevel="0" max="9" min="9" style="0" width="12"/>
    <col collapsed="false" customWidth="true" hidden="false" outlineLevel="0" max="10" min="10" style="0" width="20"/>
  </cols>
  <sheetData>
    <row r="1" customFormat="false" ht="25.5" hidden="false" customHeight="true" outlineLevel="0" collapsed="false">
      <c r="A1" s="1" t="s">
        <v>742</v>
      </c>
      <c r="B1" s="1"/>
      <c r="C1" s="1"/>
      <c r="D1" s="1"/>
      <c r="E1" s="1"/>
      <c r="F1" s="1"/>
      <c r="G1" s="1"/>
      <c r="H1" s="1"/>
      <c r="I1" s="1"/>
      <c r="J1" s="1"/>
    </row>
    <row r="2" customFormat="false" ht="31.5" hidden="false" customHeight="true" outlineLevel="0" collapsed="false">
      <c r="A2" s="11" t="s">
        <v>743</v>
      </c>
      <c r="B2" s="11"/>
      <c r="C2" s="11"/>
      <c r="D2" s="11"/>
      <c r="E2" s="11"/>
      <c r="F2" s="11"/>
      <c r="G2" s="11"/>
      <c r="H2" s="11"/>
      <c r="I2" s="11"/>
      <c r="J2" s="11"/>
    </row>
    <row r="3" customFormat="false" ht="30" hidden="false" customHeight="true" outlineLevel="0" collapsed="false">
      <c r="A3" s="12" t="s">
        <v>142</v>
      </c>
      <c r="B3" s="12" t="s">
        <v>19</v>
      </c>
      <c r="C3" s="12" t="s">
        <v>744</v>
      </c>
      <c r="D3" s="12" t="s">
        <v>745</v>
      </c>
      <c r="E3" s="12" t="s">
        <v>746</v>
      </c>
      <c r="F3" s="12" t="s">
        <v>747</v>
      </c>
      <c r="G3" s="12" t="s">
        <v>748</v>
      </c>
      <c r="H3" s="12" t="s">
        <v>749</v>
      </c>
      <c r="I3" s="12" t="s">
        <v>144</v>
      </c>
      <c r="J3" s="12" t="s">
        <v>8</v>
      </c>
    </row>
    <row r="4" customFormat="false" ht="23.85" hidden="false" customHeight="false" outlineLevel="0" collapsed="false">
      <c r="A4" s="13" t="n">
        <v>1</v>
      </c>
      <c r="B4" s="92" t="s">
        <v>670</v>
      </c>
      <c r="C4" s="20" t="s">
        <v>610</v>
      </c>
      <c r="D4" s="104" t="n">
        <v>1</v>
      </c>
      <c r="E4" s="43" t="s">
        <v>750</v>
      </c>
      <c r="F4" s="39"/>
      <c r="G4" s="105" t="n">
        <v>0</v>
      </c>
      <c r="H4" s="39" t="s">
        <v>672</v>
      </c>
      <c r="I4" s="39"/>
      <c r="J4" s="43" t="s">
        <v>26</v>
      </c>
    </row>
    <row r="5" customFormat="false" ht="23.85" hidden="false" customHeight="false" outlineLevel="0" collapsed="false">
      <c r="A5" s="13" t="n">
        <v>2</v>
      </c>
      <c r="B5" s="92" t="s">
        <v>670</v>
      </c>
      <c r="C5" s="20" t="s">
        <v>611</v>
      </c>
      <c r="D5" s="104" t="n">
        <v>1</v>
      </c>
      <c r="E5" s="43" t="s">
        <v>750</v>
      </c>
      <c r="F5" s="39"/>
      <c r="G5" s="105" t="n">
        <v>0</v>
      </c>
      <c r="H5" s="39" t="s">
        <v>674</v>
      </c>
      <c r="I5" s="39"/>
      <c r="J5" s="43" t="s">
        <v>26</v>
      </c>
    </row>
    <row r="6" customFormat="false" ht="23.85" hidden="false" customHeight="false" outlineLevel="0" collapsed="false">
      <c r="A6" s="13" t="n">
        <v>3</v>
      </c>
      <c r="B6" s="92" t="s">
        <v>670</v>
      </c>
      <c r="C6" s="20" t="s">
        <v>612</v>
      </c>
      <c r="D6" s="104" t="n">
        <v>1</v>
      </c>
      <c r="E6" s="43" t="s">
        <v>750</v>
      </c>
      <c r="F6" s="39"/>
      <c r="G6" s="105" t="n">
        <v>0</v>
      </c>
      <c r="H6" s="39" t="s">
        <v>675</v>
      </c>
      <c r="I6" s="39"/>
      <c r="J6" s="43" t="s">
        <v>26</v>
      </c>
    </row>
    <row r="7" customFormat="false" ht="23.85" hidden="false" customHeight="false" outlineLevel="0" collapsed="false">
      <c r="A7" s="13" t="n">
        <v>4</v>
      </c>
      <c r="B7" s="92" t="s">
        <v>670</v>
      </c>
      <c r="C7" s="20" t="s">
        <v>616</v>
      </c>
      <c r="D7" s="104" t="n">
        <v>1</v>
      </c>
      <c r="E7" s="43" t="s">
        <v>750</v>
      </c>
      <c r="F7" s="39"/>
      <c r="G7" s="105" t="n">
        <v>0</v>
      </c>
      <c r="H7" s="39" t="s">
        <v>676</v>
      </c>
      <c r="I7" s="39"/>
      <c r="J7" s="43" t="s">
        <v>26</v>
      </c>
    </row>
    <row r="8" customFormat="false" ht="15" hidden="false" customHeight="false" outlineLevel="0" collapsed="false">
      <c r="A8" s="13" t="n">
        <v>5</v>
      </c>
      <c r="B8" s="92" t="s">
        <v>670</v>
      </c>
      <c r="C8" s="20" t="s">
        <v>617</v>
      </c>
      <c r="D8" s="104" t="n">
        <v>1</v>
      </c>
      <c r="E8" s="43" t="s">
        <v>750</v>
      </c>
      <c r="F8" s="39"/>
      <c r="G8" s="105" t="n">
        <v>0</v>
      </c>
      <c r="H8" s="39" t="s">
        <v>677</v>
      </c>
      <c r="I8" s="39"/>
      <c r="J8" s="43" t="s">
        <v>26</v>
      </c>
    </row>
    <row r="9" customFormat="false" ht="23.85" hidden="false" customHeight="false" outlineLevel="0" collapsed="false">
      <c r="A9" s="13" t="n">
        <v>6</v>
      </c>
      <c r="B9" s="98" t="s">
        <v>687</v>
      </c>
      <c r="C9" s="20" t="s">
        <v>640</v>
      </c>
      <c r="D9" s="104" t="n">
        <v>1</v>
      </c>
      <c r="E9" s="43" t="s">
        <v>750</v>
      </c>
      <c r="F9" s="39"/>
      <c r="G9" s="105" t="n">
        <v>0</v>
      </c>
      <c r="H9" s="39" t="s">
        <v>697</v>
      </c>
      <c r="I9" s="39"/>
      <c r="J9" s="43" t="s">
        <v>26</v>
      </c>
    </row>
    <row r="10" customFormat="false" ht="23.85" hidden="false" customHeight="false" outlineLevel="0" collapsed="false">
      <c r="A10" s="13" t="n">
        <v>7</v>
      </c>
      <c r="B10" s="98" t="s">
        <v>687</v>
      </c>
      <c r="C10" s="20" t="s">
        <v>641</v>
      </c>
      <c r="D10" s="104" t="n">
        <v>1</v>
      </c>
      <c r="E10" s="43" t="s">
        <v>750</v>
      </c>
      <c r="F10" s="39"/>
      <c r="G10" s="105" t="n">
        <v>0</v>
      </c>
      <c r="H10" s="39" t="s">
        <v>698</v>
      </c>
      <c r="I10" s="39"/>
      <c r="J10" s="43" t="s">
        <v>26</v>
      </c>
    </row>
    <row r="11" customFormat="false" ht="23.85" hidden="false" customHeight="false" outlineLevel="0" collapsed="false">
      <c r="A11" s="13" t="n">
        <v>8</v>
      </c>
      <c r="B11" s="98" t="s">
        <v>687</v>
      </c>
      <c r="C11" s="20" t="s">
        <v>642</v>
      </c>
      <c r="D11" s="104" t="n">
        <v>1</v>
      </c>
      <c r="E11" s="43" t="s">
        <v>750</v>
      </c>
      <c r="F11" s="39"/>
      <c r="G11" s="105" t="n">
        <v>0</v>
      </c>
      <c r="H11" s="39" t="s">
        <v>699</v>
      </c>
      <c r="I11" s="39"/>
      <c r="J11" s="43" t="s">
        <v>26</v>
      </c>
    </row>
    <row r="12" customFormat="false" ht="23.85" hidden="false" customHeight="false" outlineLevel="0" collapsed="false">
      <c r="A12" s="13" t="n">
        <v>9</v>
      </c>
      <c r="B12" s="98" t="s">
        <v>687</v>
      </c>
      <c r="C12" s="20" t="s">
        <v>643</v>
      </c>
      <c r="D12" s="104" t="n">
        <v>1</v>
      </c>
      <c r="E12" s="43" t="s">
        <v>750</v>
      </c>
      <c r="F12" s="39"/>
      <c r="G12" s="105" t="n">
        <v>0</v>
      </c>
      <c r="H12" s="39" t="s">
        <v>700</v>
      </c>
      <c r="I12" s="39"/>
      <c r="J12" s="43" t="s">
        <v>26</v>
      </c>
    </row>
    <row r="13" customFormat="false" ht="15" hidden="false" customHeight="false" outlineLevel="0" collapsed="false">
      <c r="A13" s="13" t="n">
        <v>10</v>
      </c>
      <c r="B13" s="98" t="s">
        <v>687</v>
      </c>
      <c r="C13" s="20" t="s">
        <v>644</v>
      </c>
      <c r="D13" s="104" t="n">
        <v>1</v>
      </c>
      <c r="E13" s="43" t="s">
        <v>750</v>
      </c>
      <c r="F13" s="39"/>
      <c r="G13" s="105" t="n">
        <v>0</v>
      </c>
      <c r="H13" s="39" t="s">
        <v>701</v>
      </c>
      <c r="I13" s="39"/>
      <c r="J13" s="43" t="s">
        <v>26</v>
      </c>
    </row>
    <row r="14" customFormat="false" ht="15" hidden="false" customHeight="false" outlineLevel="0" collapsed="false">
      <c r="A14" s="13" t="n">
        <v>11</v>
      </c>
      <c r="B14" s="99" t="s">
        <v>709</v>
      </c>
      <c r="C14" s="20" t="s">
        <v>615</v>
      </c>
      <c r="D14" s="104" t="n">
        <v>1</v>
      </c>
      <c r="E14" s="43" t="s">
        <v>750</v>
      </c>
      <c r="F14" s="39"/>
      <c r="G14" s="105" t="n">
        <v>0</v>
      </c>
      <c r="H14" s="39" t="s">
        <v>716</v>
      </c>
      <c r="I14" s="39"/>
      <c r="J14" s="106" t="s">
        <v>32</v>
      </c>
    </row>
    <row r="15" customFormat="false" ht="15" hidden="false" customHeight="false" outlineLevel="0" collapsed="false">
      <c r="A15" s="13" t="n">
        <v>12</v>
      </c>
      <c r="B15" s="99" t="s">
        <v>709</v>
      </c>
      <c r="C15" s="20" t="s">
        <v>619</v>
      </c>
      <c r="D15" s="104" t="n">
        <v>1</v>
      </c>
      <c r="E15" s="43" t="s">
        <v>750</v>
      </c>
      <c r="F15" s="39"/>
      <c r="G15" s="105" t="n">
        <v>0</v>
      </c>
      <c r="H15" s="39" t="s">
        <v>717</v>
      </c>
      <c r="I15" s="39"/>
      <c r="J15" s="106" t="s">
        <v>32</v>
      </c>
    </row>
    <row r="16" customFormat="false" ht="15" hidden="false" customHeight="false" outlineLevel="0" collapsed="false">
      <c r="A16" s="13" t="n">
        <v>13</v>
      </c>
      <c r="B16" s="99" t="s">
        <v>709</v>
      </c>
      <c r="C16" s="20" t="s">
        <v>620</v>
      </c>
      <c r="D16" s="104" t="n">
        <v>1</v>
      </c>
      <c r="E16" s="43" t="s">
        <v>750</v>
      </c>
      <c r="F16" s="39"/>
      <c r="G16" s="105" t="n">
        <v>0</v>
      </c>
      <c r="H16" s="39" t="s">
        <v>718</v>
      </c>
      <c r="I16" s="39"/>
      <c r="J16" s="106" t="s">
        <v>32</v>
      </c>
    </row>
    <row r="17" customFormat="false" ht="23.85" hidden="false" customHeight="false" outlineLevel="0" collapsed="false">
      <c r="A17" s="13" t="n">
        <v>14</v>
      </c>
      <c r="B17" s="101" t="s">
        <v>720</v>
      </c>
      <c r="C17" s="20" t="s">
        <v>632</v>
      </c>
      <c r="D17" s="104" t="n">
        <v>1</v>
      </c>
      <c r="E17" s="43" t="s">
        <v>750</v>
      </c>
      <c r="F17" s="39"/>
      <c r="G17" s="105" t="n">
        <v>0</v>
      </c>
      <c r="H17" s="39" t="s">
        <v>728</v>
      </c>
      <c r="I17" s="39"/>
      <c r="J17" s="106" t="s">
        <v>35</v>
      </c>
    </row>
    <row r="18" customFormat="false" ht="23.85" hidden="false" customHeight="false" outlineLevel="0" collapsed="false">
      <c r="A18" s="13" t="n">
        <v>15</v>
      </c>
      <c r="B18" s="101" t="s">
        <v>720</v>
      </c>
      <c r="C18" s="20" t="s">
        <v>633</v>
      </c>
      <c r="D18" s="104" t="n">
        <v>1</v>
      </c>
      <c r="E18" s="43" t="s">
        <v>750</v>
      </c>
      <c r="F18" s="39"/>
      <c r="G18" s="105" t="n">
        <v>0</v>
      </c>
      <c r="H18" s="39" t="s">
        <v>729</v>
      </c>
      <c r="I18" s="39"/>
      <c r="J18" s="106" t="s">
        <v>35</v>
      </c>
    </row>
    <row r="19" customFormat="false" ht="15" hidden="false" customHeight="false" outlineLevel="0" collapsed="false">
      <c r="A19" s="13" t="n">
        <v>16</v>
      </c>
      <c r="B19" s="92" t="s">
        <v>670</v>
      </c>
      <c r="C19" s="20" t="s">
        <v>622</v>
      </c>
      <c r="D19" s="107" t="n">
        <v>2</v>
      </c>
      <c r="E19" s="43" t="s">
        <v>750</v>
      </c>
      <c r="F19" s="39"/>
      <c r="G19" s="105" t="n">
        <v>0</v>
      </c>
      <c r="H19" s="39" t="s">
        <v>683</v>
      </c>
      <c r="I19" s="39"/>
      <c r="J19" s="43" t="s">
        <v>26</v>
      </c>
    </row>
    <row r="20" customFormat="false" ht="15" hidden="false" customHeight="false" outlineLevel="0" collapsed="false">
      <c r="A20" s="13" t="n">
        <v>17</v>
      </c>
      <c r="B20" s="92" t="s">
        <v>670</v>
      </c>
      <c r="C20" s="20" t="s">
        <v>623</v>
      </c>
      <c r="D20" s="107" t="n">
        <v>2</v>
      </c>
      <c r="E20" s="43" t="s">
        <v>750</v>
      </c>
      <c r="F20" s="39"/>
      <c r="G20" s="105" t="n">
        <v>0</v>
      </c>
      <c r="H20" s="39" t="s">
        <v>684</v>
      </c>
      <c r="I20" s="39"/>
      <c r="J20" s="43" t="s">
        <v>26</v>
      </c>
    </row>
    <row r="21" customFormat="false" ht="23.85" hidden="false" customHeight="false" outlineLevel="0" collapsed="false">
      <c r="A21" s="13" t="n">
        <v>18</v>
      </c>
      <c r="B21" s="92" t="s">
        <v>670</v>
      </c>
      <c r="C21" s="20" t="s">
        <v>624</v>
      </c>
      <c r="D21" s="107" t="n">
        <v>2</v>
      </c>
      <c r="E21" s="43" t="s">
        <v>750</v>
      </c>
      <c r="F21" s="39"/>
      <c r="G21" s="105" t="n">
        <v>0</v>
      </c>
      <c r="H21" s="39" t="s">
        <v>685</v>
      </c>
      <c r="I21" s="39"/>
      <c r="J21" s="43" t="s">
        <v>26</v>
      </c>
    </row>
    <row r="22" customFormat="false" ht="15" hidden="false" customHeight="false" outlineLevel="0" collapsed="false">
      <c r="A22" s="13" t="n">
        <v>19</v>
      </c>
      <c r="B22" s="98" t="s">
        <v>687</v>
      </c>
      <c r="C22" s="20" t="s">
        <v>645</v>
      </c>
      <c r="D22" s="107" t="n">
        <v>2</v>
      </c>
      <c r="E22" s="43" t="s">
        <v>750</v>
      </c>
      <c r="F22" s="39"/>
      <c r="G22" s="105" t="n">
        <v>0</v>
      </c>
      <c r="H22" s="39" t="s">
        <v>702</v>
      </c>
      <c r="I22" s="39"/>
      <c r="J22" s="43" t="s">
        <v>26</v>
      </c>
    </row>
    <row r="23" customFormat="false" ht="15" hidden="false" customHeight="false" outlineLevel="0" collapsed="false">
      <c r="A23" s="13" t="n">
        <v>20</v>
      </c>
      <c r="B23" s="98" t="s">
        <v>687</v>
      </c>
      <c r="C23" s="20" t="s">
        <v>646</v>
      </c>
      <c r="D23" s="107" t="n">
        <v>2</v>
      </c>
      <c r="E23" s="43" t="s">
        <v>750</v>
      </c>
      <c r="F23" s="39"/>
      <c r="G23" s="105" t="n">
        <v>0</v>
      </c>
      <c r="H23" s="39" t="s">
        <v>703</v>
      </c>
      <c r="I23" s="39"/>
      <c r="J23" s="43" t="s">
        <v>26</v>
      </c>
    </row>
    <row r="24" customFormat="false" ht="15" hidden="false" customHeight="false" outlineLevel="0" collapsed="false">
      <c r="A24" s="13" t="n">
        <v>21</v>
      </c>
      <c r="B24" s="98" t="s">
        <v>687</v>
      </c>
      <c r="C24" s="20" t="s">
        <v>647</v>
      </c>
      <c r="D24" s="107" t="n">
        <v>2</v>
      </c>
      <c r="E24" s="43" t="s">
        <v>750</v>
      </c>
      <c r="F24" s="39"/>
      <c r="G24" s="105" t="n">
        <v>0</v>
      </c>
      <c r="H24" s="39" t="s">
        <v>704</v>
      </c>
      <c r="I24" s="39"/>
      <c r="J24" s="43" t="s">
        <v>26</v>
      </c>
    </row>
    <row r="25" customFormat="false" ht="15" hidden="false" customHeight="false" outlineLevel="0" collapsed="false">
      <c r="A25" s="13" t="n">
        <v>22</v>
      </c>
      <c r="B25" s="98" t="s">
        <v>687</v>
      </c>
      <c r="C25" s="20" t="s">
        <v>648</v>
      </c>
      <c r="D25" s="107" t="n">
        <v>2</v>
      </c>
      <c r="E25" s="43" t="s">
        <v>750</v>
      </c>
      <c r="F25" s="39"/>
      <c r="G25" s="105" t="n">
        <v>0</v>
      </c>
      <c r="H25" s="39" t="s">
        <v>705</v>
      </c>
      <c r="I25" s="39"/>
      <c r="J25" s="43" t="s">
        <v>26</v>
      </c>
    </row>
    <row r="26" customFormat="false" ht="15" hidden="false" customHeight="false" outlineLevel="0" collapsed="false">
      <c r="A26" s="13" t="n">
        <v>23</v>
      </c>
      <c r="B26" s="98" t="s">
        <v>687</v>
      </c>
      <c r="C26" s="20" t="s">
        <v>649</v>
      </c>
      <c r="D26" s="107" t="n">
        <v>2</v>
      </c>
      <c r="E26" s="43" t="s">
        <v>750</v>
      </c>
      <c r="F26" s="39"/>
      <c r="G26" s="105" t="n">
        <v>0</v>
      </c>
      <c r="H26" s="39" t="s">
        <v>706</v>
      </c>
      <c r="I26" s="39"/>
      <c r="J26" s="43" t="s">
        <v>26</v>
      </c>
    </row>
    <row r="27" customFormat="false" ht="15" hidden="false" customHeight="false" outlineLevel="0" collapsed="false">
      <c r="A27" s="13" t="n">
        <v>24</v>
      </c>
      <c r="B27" s="99" t="s">
        <v>709</v>
      </c>
      <c r="C27" s="20" t="s">
        <v>621</v>
      </c>
      <c r="D27" s="107" t="n">
        <v>2</v>
      </c>
      <c r="E27" s="43" t="s">
        <v>750</v>
      </c>
      <c r="F27" s="39"/>
      <c r="G27" s="105" t="n">
        <v>0</v>
      </c>
      <c r="H27" s="39" t="s">
        <v>719</v>
      </c>
      <c r="I27" s="39"/>
      <c r="J27" s="106" t="s">
        <v>32</v>
      </c>
    </row>
    <row r="28" customFormat="false" ht="23.85" hidden="false" customHeight="false" outlineLevel="0" collapsed="false">
      <c r="A28" s="13" t="n">
        <v>25</v>
      </c>
      <c r="B28" s="101" t="s">
        <v>720</v>
      </c>
      <c r="C28" s="20" t="s">
        <v>634</v>
      </c>
      <c r="D28" s="107" t="n">
        <v>2</v>
      </c>
      <c r="E28" s="43" t="s">
        <v>750</v>
      </c>
      <c r="F28" s="39"/>
      <c r="G28" s="105" t="n">
        <v>0</v>
      </c>
      <c r="H28" s="39" t="s">
        <v>730</v>
      </c>
      <c r="I28" s="39"/>
      <c r="J28" s="106" t="s">
        <v>35</v>
      </c>
    </row>
    <row r="29" customFormat="false" ht="23.85" hidden="false" customHeight="false" outlineLevel="0" collapsed="false">
      <c r="A29" s="13" t="n">
        <v>26</v>
      </c>
      <c r="B29" s="92" t="s">
        <v>670</v>
      </c>
      <c r="C29" s="20" t="s">
        <v>625</v>
      </c>
      <c r="D29" s="108" t="n">
        <v>3</v>
      </c>
      <c r="E29" s="43" t="s">
        <v>750</v>
      </c>
      <c r="F29" s="39"/>
      <c r="G29" s="105" t="n">
        <v>0</v>
      </c>
      <c r="H29" s="39" t="s">
        <v>686</v>
      </c>
      <c r="I29" s="39"/>
      <c r="J29" s="43" t="s">
        <v>26</v>
      </c>
    </row>
    <row r="30" customFormat="false" ht="15" hidden="false" customHeight="false" outlineLevel="0" collapsed="false">
      <c r="A30" s="13" t="n">
        <v>27</v>
      </c>
      <c r="B30" s="98" t="s">
        <v>687</v>
      </c>
      <c r="C30" s="20" t="s">
        <v>650</v>
      </c>
      <c r="D30" s="108" t="n">
        <v>3</v>
      </c>
      <c r="E30" s="43" t="s">
        <v>750</v>
      </c>
      <c r="F30" s="39"/>
      <c r="G30" s="105" t="n">
        <v>0</v>
      </c>
      <c r="H30" s="39" t="s">
        <v>707</v>
      </c>
      <c r="I30" s="39"/>
      <c r="J30" s="43" t="s">
        <v>26</v>
      </c>
    </row>
    <row r="31" customFormat="false" ht="15" hidden="false" customHeight="false" outlineLevel="0" collapsed="false">
      <c r="A31" s="13" t="n">
        <v>28</v>
      </c>
      <c r="B31" s="98" t="s">
        <v>687</v>
      </c>
      <c r="C31" s="20" t="s">
        <v>651</v>
      </c>
      <c r="D31" s="108" t="n">
        <v>3</v>
      </c>
      <c r="E31" s="43" t="s">
        <v>750</v>
      </c>
      <c r="F31" s="39"/>
      <c r="G31" s="105" t="n">
        <v>0</v>
      </c>
      <c r="H31" s="39" t="s">
        <v>708</v>
      </c>
      <c r="I31" s="39"/>
      <c r="J31" s="43" t="s">
        <v>26</v>
      </c>
    </row>
    <row r="32" customFormat="false" ht="23.85" hidden="false" customHeight="false" outlineLevel="0" collapsed="false">
      <c r="A32" s="13" t="n">
        <v>29</v>
      </c>
      <c r="B32" s="101" t="s">
        <v>720</v>
      </c>
      <c r="C32" s="20" t="s">
        <v>638</v>
      </c>
      <c r="D32" s="108" t="n">
        <v>3</v>
      </c>
      <c r="E32" s="43" t="s">
        <v>750</v>
      </c>
      <c r="F32" s="39"/>
      <c r="G32" s="105" t="n">
        <v>0</v>
      </c>
      <c r="H32" s="39" t="s">
        <v>731</v>
      </c>
      <c r="I32" s="39"/>
      <c r="J32" s="106" t="s">
        <v>35</v>
      </c>
    </row>
    <row r="33" customFormat="false" ht="23.85" hidden="false" customHeight="false" outlineLevel="0" collapsed="false">
      <c r="A33" s="13" t="n">
        <v>30</v>
      </c>
      <c r="B33" s="101" t="s">
        <v>720</v>
      </c>
      <c r="C33" s="20" t="s">
        <v>639</v>
      </c>
      <c r="D33" s="108" t="n">
        <v>3</v>
      </c>
      <c r="E33" s="43" t="s">
        <v>750</v>
      </c>
      <c r="F33" s="39"/>
      <c r="G33" s="105" t="n">
        <v>0</v>
      </c>
      <c r="H33" s="39" t="s">
        <v>732</v>
      </c>
      <c r="I33" s="39"/>
      <c r="J33" s="106" t="s">
        <v>35</v>
      </c>
    </row>
    <row r="35" customFormat="false" ht="15" hidden="false" customHeight="false" outlineLevel="0" collapsed="false">
      <c r="B35" s="90" t="s">
        <v>751</v>
      </c>
      <c r="C35" s="40" t="n">
        <f aca="false">COUNTA(C4:C33)</f>
        <v>30</v>
      </c>
    </row>
    <row r="36" customFormat="false" ht="15" hidden="false" customHeight="false" outlineLevel="0" collapsed="false">
      <c r="B36" s="90" t="s">
        <v>752</v>
      </c>
      <c r="C36" s="40" t="n">
        <f aca="false">COUNTIF(E4:E33,"5 - Açılış")</f>
        <v>0</v>
      </c>
    </row>
    <row r="37" customFormat="false" ht="15" hidden="false" customHeight="false" outlineLevel="0" collapsed="false">
      <c r="B37" s="90" t="s">
        <v>753</v>
      </c>
      <c r="C37" s="40" t="n">
        <f aca="false">COUNTIF(F4:F33,"&lt;&gt;")</f>
        <v>0</v>
      </c>
    </row>
    <row r="39" customFormat="false" ht="19.5" hidden="false" customHeight="true" outlineLevel="0" collapsed="false">
      <c r="A39" s="28" t="s">
        <v>754</v>
      </c>
      <c r="B39" s="28"/>
      <c r="C39" s="28"/>
      <c r="D39" s="28"/>
      <c r="E39" s="28"/>
      <c r="F39" s="28"/>
      <c r="G39" s="28"/>
      <c r="H39" s="28"/>
      <c r="I39" s="28"/>
      <c r="J39" s="28"/>
    </row>
    <row r="40" customFormat="false" ht="30" hidden="false" customHeight="true" outlineLevel="0" collapsed="false">
      <c r="A40" s="12" t="s">
        <v>165</v>
      </c>
      <c r="B40" s="12" t="s">
        <v>755</v>
      </c>
      <c r="C40" s="12" t="s">
        <v>756</v>
      </c>
      <c r="D40" s="12" t="s">
        <v>757</v>
      </c>
      <c r="E40" s="12" t="s">
        <v>758</v>
      </c>
      <c r="F40" s="12" t="s">
        <v>8</v>
      </c>
      <c r="G40" s="12"/>
      <c r="H40" s="12"/>
      <c r="I40" s="12"/>
      <c r="J40" s="12"/>
    </row>
    <row r="41" customFormat="false" ht="54" hidden="false" customHeight="true" outlineLevel="0" collapsed="false">
      <c r="A41" s="40" t="s">
        <v>759</v>
      </c>
      <c r="B41" s="20" t="s">
        <v>760</v>
      </c>
      <c r="C41" s="13" t="s">
        <v>761</v>
      </c>
      <c r="D41" s="13" t="s">
        <v>762</v>
      </c>
      <c r="E41" s="13" t="s">
        <v>763</v>
      </c>
      <c r="F41" s="13" t="s">
        <v>764</v>
      </c>
      <c r="G41" s="13"/>
      <c r="H41" s="13"/>
      <c r="I41" s="13"/>
      <c r="J41" s="13"/>
    </row>
    <row r="42" customFormat="false" ht="54" hidden="false" customHeight="true" outlineLevel="0" collapsed="false">
      <c r="A42" s="40" t="s">
        <v>765</v>
      </c>
      <c r="B42" s="20" t="s">
        <v>766</v>
      </c>
      <c r="C42" s="13" t="s">
        <v>767</v>
      </c>
      <c r="D42" s="13" t="s">
        <v>768</v>
      </c>
      <c r="E42" s="13" t="s">
        <v>769</v>
      </c>
      <c r="F42" s="13" t="s">
        <v>770</v>
      </c>
      <c r="G42" s="13"/>
      <c r="H42" s="13"/>
      <c r="I42" s="13"/>
      <c r="J42" s="13"/>
    </row>
    <row r="43" customFormat="false" ht="54" hidden="false" customHeight="true" outlineLevel="0" collapsed="false">
      <c r="A43" s="40" t="s">
        <v>771</v>
      </c>
      <c r="B43" s="20" t="s">
        <v>772</v>
      </c>
      <c r="C43" s="13" t="s">
        <v>773</v>
      </c>
      <c r="D43" s="13" t="s">
        <v>774</v>
      </c>
      <c r="E43" s="13" t="s">
        <v>775</v>
      </c>
      <c r="F43" s="13" t="s">
        <v>776</v>
      </c>
      <c r="G43" s="13"/>
      <c r="H43" s="13"/>
      <c r="I43" s="13"/>
      <c r="J43" s="13"/>
    </row>
    <row r="44" customFormat="false" ht="54" hidden="false" customHeight="true" outlineLevel="0" collapsed="false">
      <c r="A44" s="40" t="s">
        <v>777</v>
      </c>
      <c r="B44" s="20" t="s">
        <v>778</v>
      </c>
      <c r="C44" s="13" t="s">
        <v>779</v>
      </c>
      <c r="D44" s="13" t="s">
        <v>780</v>
      </c>
      <c r="E44" s="13" t="s">
        <v>763</v>
      </c>
      <c r="F44" s="13" t="s">
        <v>770</v>
      </c>
      <c r="G44" s="13"/>
      <c r="H44" s="13"/>
      <c r="I44" s="13"/>
      <c r="J44" s="13"/>
    </row>
    <row r="45" customFormat="false" ht="54" hidden="false" customHeight="true" outlineLevel="0" collapsed="false">
      <c r="A45" s="40" t="s">
        <v>781</v>
      </c>
      <c r="B45" s="20" t="s">
        <v>782</v>
      </c>
      <c r="C45" s="13" t="s">
        <v>783</v>
      </c>
      <c r="D45" s="13" t="s">
        <v>784</v>
      </c>
      <c r="E45" s="13" t="s">
        <v>785</v>
      </c>
      <c r="F45" s="13" t="s">
        <v>786</v>
      </c>
      <c r="G45" s="13"/>
      <c r="H45" s="13"/>
      <c r="I45" s="13"/>
      <c r="J45" s="13"/>
    </row>
    <row r="47" customFormat="false" ht="90" hidden="false" customHeight="true" outlineLevel="0" collapsed="false">
      <c r="A47" s="21" t="s">
        <v>787</v>
      </c>
      <c r="B47" s="21"/>
      <c r="C47" s="21"/>
      <c r="D47" s="21"/>
      <c r="E47" s="21"/>
      <c r="F47" s="21"/>
      <c r="G47" s="21"/>
      <c r="H47" s="21"/>
      <c r="I47" s="21"/>
      <c r="J47" s="21"/>
    </row>
  </sheetData>
  <mergeCells count="4">
    <mergeCell ref="A1:J1"/>
    <mergeCell ref="A2:J2"/>
    <mergeCell ref="A39:J39"/>
    <mergeCell ref="A47:J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5" topLeftCell="H6" activePane="bottomRight" state="frozen"/>
      <selection pane="topLeft" activeCell="A1" activeCellId="0" sqref="A1"/>
      <selection pane="topRight" activeCell="H1" activeCellId="0" sqref="H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16"/>
    <col collapsed="false" customWidth="true" hidden="false" outlineLevel="0" max="4" min="4" style="0" width="6"/>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17" min="8" style="0" width="6"/>
    <col collapsed="false" customWidth="true" hidden="false" outlineLevel="0" max="18" min="18" style="0" width="9"/>
    <col collapsed="false" customWidth="true" hidden="false" outlineLevel="0" max="19" min="19" style="0" width="32"/>
    <col collapsed="false" customWidth="true" hidden="false" outlineLevel="0" max="20" min="20" style="0" width="16"/>
  </cols>
  <sheetData>
    <row r="1" customFormat="false" ht="25.5" hidden="false" customHeight="true" outlineLevel="0" collapsed="false">
      <c r="A1" s="1" t="s">
        <v>788</v>
      </c>
      <c r="B1" s="1"/>
      <c r="C1" s="1"/>
      <c r="D1" s="1"/>
      <c r="E1" s="1"/>
      <c r="F1" s="1"/>
      <c r="G1" s="1"/>
      <c r="H1" s="1"/>
      <c r="I1" s="1"/>
      <c r="J1" s="1"/>
      <c r="K1" s="1"/>
      <c r="L1" s="1"/>
      <c r="M1" s="1"/>
      <c r="N1" s="1"/>
      <c r="O1" s="1"/>
      <c r="P1" s="1"/>
      <c r="Q1" s="1"/>
      <c r="R1" s="1"/>
      <c r="S1" s="1"/>
      <c r="T1" s="1"/>
    </row>
    <row r="2" customFormat="false" ht="37.5" hidden="false" customHeight="true" outlineLevel="0" collapsed="false">
      <c r="A2" s="11" t="s">
        <v>789</v>
      </c>
      <c r="B2" s="11"/>
      <c r="C2" s="11"/>
      <c r="D2" s="11"/>
      <c r="E2" s="11"/>
      <c r="F2" s="11"/>
      <c r="G2" s="11"/>
      <c r="H2" s="11"/>
      <c r="I2" s="11"/>
      <c r="J2" s="11"/>
      <c r="K2" s="11"/>
      <c r="L2" s="11"/>
      <c r="M2" s="11"/>
      <c r="N2" s="11"/>
      <c r="O2" s="11"/>
      <c r="P2" s="11"/>
      <c r="Q2" s="11"/>
      <c r="R2" s="11"/>
      <c r="S2" s="11"/>
      <c r="T2" s="11"/>
    </row>
    <row r="3" customFormat="false" ht="45.75" hidden="false" customHeight="true" outlineLevel="0" collapsed="false">
      <c r="H3" s="109" t="s">
        <v>790</v>
      </c>
      <c r="I3" s="109" t="s">
        <v>791</v>
      </c>
      <c r="J3" s="109" t="s">
        <v>792</v>
      </c>
      <c r="K3" s="109" t="s">
        <v>793</v>
      </c>
      <c r="L3" s="109" t="s">
        <v>794</v>
      </c>
      <c r="M3" s="109" t="s">
        <v>795</v>
      </c>
      <c r="N3" s="109" t="s">
        <v>796</v>
      </c>
      <c r="O3" s="109" t="s">
        <v>797</v>
      </c>
      <c r="P3" s="109" t="s">
        <v>798</v>
      </c>
      <c r="Q3" s="109" t="s">
        <v>799</v>
      </c>
    </row>
    <row r="4" customFormat="false" ht="30" hidden="false" customHeight="true" outlineLevel="0" collapsed="false">
      <c r="A4" s="12" t="s">
        <v>142</v>
      </c>
      <c r="B4" s="12" t="s">
        <v>800</v>
      </c>
      <c r="C4" s="12" t="s">
        <v>801</v>
      </c>
      <c r="D4" s="12" t="s">
        <v>802</v>
      </c>
      <c r="E4" s="12" t="s">
        <v>803</v>
      </c>
      <c r="F4" s="12" t="s">
        <v>804</v>
      </c>
      <c r="G4" s="12" t="s">
        <v>805</v>
      </c>
      <c r="H4" s="12" t="s">
        <v>806</v>
      </c>
      <c r="I4" s="12" t="s">
        <v>807</v>
      </c>
      <c r="J4" s="12" t="s">
        <v>808</v>
      </c>
      <c r="K4" s="12" t="s">
        <v>809</v>
      </c>
      <c r="L4" s="12" t="s">
        <v>810</v>
      </c>
      <c r="M4" s="12" t="s">
        <v>811</v>
      </c>
      <c r="N4" s="12" t="s">
        <v>812</v>
      </c>
      <c r="O4" s="12" t="s">
        <v>813</v>
      </c>
      <c r="P4" s="12" t="s">
        <v>814</v>
      </c>
      <c r="Q4" s="12" t="s">
        <v>815</v>
      </c>
      <c r="R4" s="12" t="s">
        <v>816</v>
      </c>
      <c r="S4" s="12" t="s">
        <v>817</v>
      </c>
      <c r="T4" s="12" t="s">
        <v>145</v>
      </c>
    </row>
    <row r="5" customFormat="false" ht="15" hidden="false" customHeight="false" outlineLevel="0" collapsed="false">
      <c r="G5" s="110" t="s">
        <v>818</v>
      </c>
      <c r="H5" s="37" t="n">
        <v>14</v>
      </c>
      <c r="I5" s="37" t="n">
        <v>10</v>
      </c>
      <c r="J5" s="37" t="n">
        <v>10</v>
      </c>
      <c r="K5" s="37" t="n">
        <v>14</v>
      </c>
      <c r="L5" s="37" t="n">
        <v>10</v>
      </c>
      <c r="M5" s="37" t="n">
        <v>14</v>
      </c>
      <c r="N5" s="37" t="n">
        <v>10</v>
      </c>
      <c r="O5" s="37" t="n">
        <v>6</v>
      </c>
      <c r="P5" s="37" t="n">
        <v>6</v>
      </c>
      <c r="Q5" s="37" t="n">
        <v>6</v>
      </c>
      <c r="R5" s="37" t="n">
        <f aca="false">SUM(H5:Q5)</f>
        <v>100</v>
      </c>
      <c r="S5" s="111" t="s">
        <v>819</v>
      </c>
    </row>
    <row r="6" customFormat="false" ht="15" hidden="false" customHeight="false" outlineLevel="0" collapsed="false">
      <c r="A6" s="112" t="n">
        <v>1</v>
      </c>
      <c r="B6" s="39"/>
      <c r="C6" s="39"/>
      <c r="D6" s="39"/>
      <c r="E6" s="39"/>
      <c r="F6" s="39"/>
      <c r="G6" s="39"/>
      <c r="H6" s="105" t="n">
        <v>0</v>
      </c>
      <c r="I6" s="105" t="n">
        <v>0</v>
      </c>
      <c r="J6" s="105" t="n">
        <v>0</v>
      </c>
      <c r="K6" s="105" t="n">
        <v>0</v>
      </c>
      <c r="L6" s="105" t="n">
        <v>0</v>
      </c>
      <c r="M6" s="105" t="n">
        <v>0</v>
      </c>
      <c r="N6" s="105" t="n">
        <v>0</v>
      </c>
      <c r="O6" s="105" t="n">
        <v>0</v>
      </c>
      <c r="P6" s="105" t="n">
        <v>0</v>
      </c>
      <c r="Q6" s="105" t="n">
        <v>0</v>
      </c>
      <c r="R6" s="113" t="n">
        <f aca="false">SUMPRODUCT($H$5:$Q$5,H6:Q6)/5</f>
        <v>0</v>
      </c>
      <c r="S6" s="13" t="str">
        <f aca="false">IF(SUM(H6:Q6)=0,"—",IF(R6&gt;=85,"Temsilci / Birim Başkanı adayı",IF(R6&gt;=70,"Aktif görevli / birim üyesi",IF(R6&gt;=50,"Gözlem — programlara davet et","Henüz görev verme"))))</f>
        <v>—</v>
      </c>
      <c r="T6" s="22"/>
    </row>
    <row r="7" customFormat="false" ht="15" hidden="false" customHeight="false" outlineLevel="0" collapsed="false">
      <c r="A7" s="112" t="n">
        <v>2</v>
      </c>
      <c r="B7" s="39"/>
      <c r="C7" s="39"/>
      <c r="D7" s="39"/>
      <c r="E7" s="39"/>
      <c r="F7" s="39"/>
      <c r="G7" s="39"/>
      <c r="H7" s="105" t="n">
        <v>0</v>
      </c>
      <c r="I7" s="105" t="n">
        <v>0</v>
      </c>
      <c r="J7" s="105" t="n">
        <v>0</v>
      </c>
      <c r="K7" s="105" t="n">
        <v>0</v>
      </c>
      <c r="L7" s="105" t="n">
        <v>0</v>
      </c>
      <c r="M7" s="105" t="n">
        <v>0</v>
      </c>
      <c r="N7" s="105" t="n">
        <v>0</v>
      </c>
      <c r="O7" s="105" t="n">
        <v>0</v>
      </c>
      <c r="P7" s="105" t="n">
        <v>0</v>
      </c>
      <c r="Q7" s="105" t="n">
        <v>0</v>
      </c>
      <c r="R7" s="113" t="n">
        <f aca="false">SUMPRODUCT($H$5:$Q$5,H7:Q7)/5</f>
        <v>0</v>
      </c>
      <c r="S7" s="13" t="str">
        <f aca="false">IF(SUM(H7:Q7)=0,"—",IF(R7&gt;=85,"Temsilci / Birim Başkanı adayı",IF(R7&gt;=70,"Aktif görevli / birim üyesi",IF(R7&gt;=50,"Gözlem — programlara davet et","Henüz görev verme"))))</f>
        <v>—</v>
      </c>
      <c r="T7" s="22"/>
    </row>
    <row r="8" customFormat="false" ht="15" hidden="false" customHeight="false" outlineLevel="0" collapsed="false">
      <c r="A8" s="112" t="n">
        <v>3</v>
      </c>
      <c r="B8" s="39"/>
      <c r="C8" s="39"/>
      <c r="D8" s="39"/>
      <c r="E8" s="39"/>
      <c r="F8" s="39"/>
      <c r="G8" s="39"/>
      <c r="H8" s="105" t="n">
        <v>0</v>
      </c>
      <c r="I8" s="105" t="n">
        <v>0</v>
      </c>
      <c r="J8" s="105" t="n">
        <v>0</v>
      </c>
      <c r="K8" s="105" t="n">
        <v>0</v>
      </c>
      <c r="L8" s="105" t="n">
        <v>0</v>
      </c>
      <c r="M8" s="105" t="n">
        <v>0</v>
      </c>
      <c r="N8" s="105" t="n">
        <v>0</v>
      </c>
      <c r="O8" s="105" t="n">
        <v>0</v>
      </c>
      <c r="P8" s="105" t="n">
        <v>0</v>
      </c>
      <c r="Q8" s="105" t="n">
        <v>0</v>
      </c>
      <c r="R8" s="113" t="n">
        <f aca="false">SUMPRODUCT($H$5:$Q$5,H8:Q8)/5</f>
        <v>0</v>
      </c>
      <c r="S8" s="13" t="str">
        <f aca="false">IF(SUM(H8:Q8)=0,"—",IF(R8&gt;=85,"Temsilci / Birim Başkanı adayı",IF(R8&gt;=70,"Aktif görevli / birim üyesi",IF(R8&gt;=50,"Gözlem — programlara davet et","Henüz görev verme"))))</f>
        <v>—</v>
      </c>
      <c r="T8" s="22"/>
    </row>
    <row r="9" customFormat="false" ht="15" hidden="false" customHeight="false" outlineLevel="0" collapsed="false">
      <c r="A9" s="112" t="n">
        <v>4</v>
      </c>
      <c r="B9" s="39"/>
      <c r="C9" s="39"/>
      <c r="D9" s="39"/>
      <c r="E9" s="39"/>
      <c r="F9" s="39"/>
      <c r="G9" s="39"/>
      <c r="H9" s="105" t="n">
        <v>0</v>
      </c>
      <c r="I9" s="105" t="n">
        <v>0</v>
      </c>
      <c r="J9" s="105" t="n">
        <v>0</v>
      </c>
      <c r="K9" s="105" t="n">
        <v>0</v>
      </c>
      <c r="L9" s="105" t="n">
        <v>0</v>
      </c>
      <c r="M9" s="105" t="n">
        <v>0</v>
      </c>
      <c r="N9" s="105" t="n">
        <v>0</v>
      </c>
      <c r="O9" s="105" t="n">
        <v>0</v>
      </c>
      <c r="P9" s="105" t="n">
        <v>0</v>
      </c>
      <c r="Q9" s="105" t="n">
        <v>0</v>
      </c>
      <c r="R9" s="113" t="n">
        <f aca="false">SUMPRODUCT($H$5:$Q$5,H9:Q9)/5</f>
        <v>0</v>
      </c>
      <c r="S9" s="13" t="str">
        <f aca="false">IF(SUM(H9:Q9)=0,"—",IF(R9&gt;=85,"Temsilci / Birim Başkanı adayı",IF(R9&gt;=70,"Aktif görevli / birim üyesi",IF(R9&gt;=50,"Gözlem — programlara davet et","Henüz görev verme"))))</f>
        <v>—</v>
      </c>
      <c r="T9" s="22"/>
    </row>
    <row r="10" customFormat="false" ht="15" hidden="false" customHeight="false" outlineLevel="0" collapsed="false">
      <c r="A10" s="112" t="n">
        <v>5</v>
      </c>
      <c r="B10" s="39"/>
      <c r="C10" s="39"/>
      <c r="D10" s="39"/>
      <c r="E10" s="39"/>
      <c r="F10" s="39"/>
      <c r="G10" s="39"/>
      <c r="H10" s="105" t="n">
        <v>0</v>
      </c>
      <c r="I10" s="105" t="n">
        <v>0</v>
      </c>
      <c r="J10" s="105" t="n">
        <v>0</v>
      </c>
      <c r="K10" s="105" t="n">
        <v>0</v>
      </c>
      <c r="L10" s="105" t="n">
        <v>0</v>
      </c>
      <c r="M10" s="105" t="n">
        <v>0</v>
      </c>
      <c r="N10" s="105" t="n">
        <v>0</v>
      </c>
      <c r="O10" s="105" t="n">
        <v>0</v>
      </c>
      <c r="P10" s="105" t="n">
        <v>0</v>
      </c>
      <c r="Q10" s="105" t="n">
        <v>0</v>
      </c>
      <c r="R10" s="113" t="n">
        <f aca="false">SUMPRODUCT($H$5:$Q$5,H10:Q10)/5</f>
        <v>0</v>
      </c>
      <c r="S10" s="13" t="str">
        <f aca="false">IF(SUM(H10:Q10)=0,"—",IF(R10&gt;=85,"Temsilci / Birim Başkanı adayı",IF(R10&gt;=70,"Aktif görevli / birim üyesi",IF(R10&gt;=50,"Gözlem — programlara davet et","Henüz görev verme"))))</f>
        <v>—</v>
      </c>
      <c r="T10" s="22"/>
    </row>
    <row r="11" customFormat="false" ht="15" hidden="false" customHeight="false" outlineLevel="0" collapsed="false">
      <c r="A11" s="112" t="n">
        <v>6</v>
      </c>
      <c r="B11" s="39"/>
      <c r="C11" s="39"/>
      <c r="D11" s="39"/>
      <c r="E11" s="39"/>
      <c r="F11" s="39"/>
      <c r="G11" s="39"/>
      <c r="H11" s="105" t="n">
        <v>0</v>
      </c>
      <c r="I11" s="105" t="n">
        <v>0</v>
      </c>
      <c r="J11" s="105" t="n">
        <v>0</v>
      </c>
      <c r="K11" s="105" t="n">
        <v>0</v>
      </c>
      <c r="L11" s="105" t="n">
        <v>0</v>
      </c>
      <c r="M11" s="105" t="n">
        <v>0</v>
      </c>
      <c r="N11" s="105" t="n">
        <v>0</v>
      </c>
      <c r="O11" s="105" t="n">
        <v>0</v>
      </c>
      <c r="P11" s="105" t="n">
        <v>0</v>
      </c>
      <c r="Q11" s="105" t="n">
        <v>0</v>
      </c>
      <c r="R11" s="113" t="n">
        <f aca="false">SUMPRODUCT($H$5:$Q$5,H11:Q11)/5</f>
        <v>0</v>
      </c>
      <c r="S11" s="13" t="str">
        <f aca="false">IF(SUM(H11:Q11)=0,"—",IF(R11&gt;=85,"Temsilci / Birim Başkanı adayı",IF(R11&gt;=70,"Aktif görevli / birim üyesi",IF(R11&gt;=50,"Gözlem — programlara davet et","Henüz görev verme"))))</f>
        <v>—</v>
      </c>
      <c r="T11" s="22"/>
    </row>
    <row r="12" customFormat="false" ht="15" hidden="false" customHeight="false" outlineLevel="0" collapsed="false">
      <c r="A12" s="112" t="n">
        <v>7</v>
      </c>
      <c r="B12" s="39"/>
      <c r="C12" s="39"/>
      <c r="D12" s="39"/>
      <c r="E12" s="39"/>
      <c r="F12" s="39"/>
      <c r="G12" s="39"/>
      <c r="H12" s="105" t="n">
        <v>0</v>
      </c>
      <c r="I12" s="105" t="n">
        <v>0</v>
      </c>
      <c r="J12" s="105" t="n">
        <v>0</v>
      </c>
      <c r="K12" s="105" t="n">
        <v>0</v>
      </c>
      <c r="L12" s="105" t="n">
        <v>0</v>
      </c>
      <c r="M12" s="105" t="n">
        <v>0</v>
      </c>
      <c r="N12" s="105" t="n">
        <v>0</v>
      </c>
      <c r="O12" s="105" t="n">
        <v>0</v>
      </c>
      <c r="P12" s="105" t="n">
        <v>0</v>
      </c>
      <c r="Q12" s="105" t="n">
        <v>0</v>
      </c>
      <c r="R12" s="113" t="n">
        <f aca="false">SUMPRODUCT($H$5:$Q$5,H12:Q12)/5</f>
        <v>0</v>
      </c>
      <c r="S12" s="13" t="str">
        <f aca="false">IF(SUM(H12:Q12)=0,"—",IF(R12&gt;=85,"Temsilci / Birim Başkanı adayı",IF(R12&gt;=70,"Aktif görevli / birim üyesi",IF(R12&gt;=50,"Gözlem — programlara davet et","Henüz görev verme"))))</f>
        <v>—</v>
      </c>
      <c r="T12" s="22"/>
    </row>
    <row r="13" customFormat="false" ht="15" hidden="false" customHeight="false" outlineLevel="0" collapsed="false">
      <c r="A13" s="112" t="n">
        <v>8</v>
      </c>
      <c r="B13" s="39"/>
      <c r="C13" s="39"/>
      <c r="D13" s="39"/>
      <c r="E13" s="39"/>
      <c r="F13" s="39"/>
      <c r="G13" s="39"/>
      <c r="H13" s="105" t="n">
        <v>0</v>
      </c>
      <c r="I13" s="105" t="n">
        <v>0</v>
      </c>
      <c r="J13" s="105" t="n">
        <v>0</v>
      </c>
      <c r="K13" s="105" t="n">
        <v>0</v>
      </c>
      <c r="L13" s="105" t="n">
        <v>0</v>
      </c>
      <c r="M13" s="105" t="n">
        <v>0</v>
      </c>
      <c r="N13" s="105" t="n">
        <v>0</v>
      </c>
      <c r="O13" s="105" t="n">
        <v>0</v>
      </c>
      <c r="P13" s="105" t="n">
        <v>0</v>
      </c>
      <c r="Q13" s="105" t="n">
        <v>0</v>
      </c>
      <c r="R13" s="113" t="n">
        <f aca="false">SUMPRODUCT($H$5:$Q$5,H13:Q13)/5</f>
        <v>0</v>
      </c>
      <c r="S13" s="13" t="str">
        <f aca="false">IF(SUM(H13:Q13)=0,"—",IF(R13&gt;=85,"Temsilci / Birim Başkanı adayı",IF(R13&gt;=70,"Aktif görevli / birim üyesi",IF(R13&gt;=50,"Gözlem — programlara davet et","Henüz görev verme"))))</f>
        <v>—</v>
      </c>
      <c r="T13" s="22"/>
    </row>
    <row r="14" customFormat="false" ht="15" hidden="false" customHeight="false" outlineLevel="0" collapsed="false">
      <c r="A14" s="112" t="n">
        <v>9</v>
      </c>
      <c r="B14" s="39"/>
      <c r="C14" s="39"/>
      <c r="D14" s="39"/>
      <c r="E14" s="39"/>
      <c r="F14" s="39"/>
      <c r="G14" s="39"/>
      <c r="H14" s="105" t="n">
        <v>0</v>
      </c>
      <c r="I14" s="105" t="n">
        <v>0</v>
      </c>
      <c r="J14" s="105" t="n">
        <v>0</v>
      </c>
      <c r="K14" s="105" t="n">
        <v>0</v>
      </c>
      <c r="L14" s="105" t="n">
        <v>0</v>
      </c>
      <c r="M14" s="105" t="n">
        <v>0</v>
      </c>
      <c r="N14" s="105" t="n">
        <v>0</v>
      </c>
      <c r="O14" s="105" t="n">
        <v>0</v>
      </c>
      <c r="P14" s="105" t="n">
        <v>0</v>
      </c>
      <c r="Q14" s="105" t="n">
        <v>0</v>
      </c>
      <c r="R14" s="113" t="n">
        <f aca="false">SUMPRODUCT($H$5:$Q$5,H14:Q14)/5</f>
        <v>0</v>
      </c>
      <c r="S14" s="13" t="str">
        <f aca="false">IF(SUM(H14:Q14)=0,"—",IF(R14&gt;=85,"Temsilci / Birim Başkanı adayı",IF(R14&gt;=70,"Aktif görevli / birim üyesi",IF(R14&gt;=50,"Gözlem — programlara davet et","Henüz görev verme"))))</f>
        <v>—</v>
      </c>
      <c r="T14" s="22"/>
    </row>
    <row r="15" customFormat="false" ht="15" hidden="false" customHeight="false" outlineLevel="0" collapsed="false">
      <c r="A15" s="112" t="n">
        <v>10</v>
      </c>
      <c r="B15" s="39"/>
      <c r="C15" s="39"/>
      <c r="D15" s="39"/>
      <c r="E15" s="39"/>
      <c r="F15" s="39"/>
      <c r="G15" s="39"/>
      <c r="H15" s="105" t="n">
        <v>0</v>
      </c>
      <c r="I15" s="105" t="n">
        <v>0</v>
      </c>
      <c r="J15" s="105" t="n">
        <v>0</v>
      </c>
      <c r="K15" s="105" t="n">
        <v>0</v>
      </c>
      <c r="L15" s="105" t="n">
        <v>0</v>
      </c>
      <c r="M15" s="105" t="n">
        <v>0</v>
      </c>
      <c r="N15" s="105" t="n">
        <v>0</v>
      </c>
      <c r="O15" s="105" t="n">
        <v>0</v>
      </c>
      <c r="P15" s="105" t="n">
        <v>0</v>
      </c>
      <c r="Q15" s="105" t="n">
        <v>0</v>
      </c>
      <c r="R15" s="113" t="n">
        <f aca="false">SUMPRODUCT($H$5:$Q$5,H15:Q15)/5</f>
        <v>0</v>
      </c>
      <c r="S15" s="13" t="str">
        <f aca="false">IF(SUM(H15:Q15)=0,"—",IF(R15&gt;=85,"Temsilci / Birim Başkanı adayı",IF(R15&gt;=70,"Aktif görevli / birim üyesi",IF(R15&gt;=50,"Gözlem — programlara davet et","Henüz görev verme"))))</f>
        <v>—</v>
      </c>
      <c r="T15" s="22"/>
    </row>
    <row r="16" customFormat="false" ht="15" hidden="false" customHeight="false" outlineLevel="0" collapsed="false">
      <c r="A16" s="112" t="n">
        <v>11</v>
      </c>
      <c r="B16" s="39"/>
      <c r="C16" s="39"/>
      <c r="D16" s="39"/>
      <c r="E16" s="39"/>
      <c r="F16" s="39"/>
      <c r="G16" s="39"/>
      <c r="H16" s="105" t="n">
        <v>0</v>
      </c>
      <c r="I16" s="105" t="n">
        <v>0</v>
      </c>
      <c r="J16" s="105" t="n">
        <v>0</v>
      </c>
      <c r="K16" s="105" t="n">
        <v>0</v>
      </c>
      <c r="L16" s="105" t="n">
        <v>0</v>
      </c>
      <c r="M16" s="105" t="n">
        <v>0</v>
      </c>
      <c r="N16" s="105" t="n">
        <v>0</v>
      </c>
      <c r="O16" s="105" t="n">
        <v>0</v>
      </c>
      <c r="P16" s="105" t="n">
        <v>0</v>
      </c>
      <c r="Q16" s="105" t="n">
        <v>0</v>
      </c>
      <c r="R16" s="113" t="n">
        <f aca="false">SUMPRODUCT($H$5:$Q$5,H16:Q16)/5</f>
        <v>0</v>
      </c>
      <c r="S16" s="13" t="str">
        <f aca="false">IF(SUM(H16:Q16)=0,"—",IF(R16&gt;=85,"Temsilci / Birim Başkanı adayı",IF(R16&gt;=70,"Aktif görevli / birim üyesi",IF(R16&gt;=50,"Gözlem — programlara davet et","Henüz görev verme"))))</f>
        <v>—</v>
      </c>
      <c r="T16" s="22"/>
    </row>
    <row r="17" customFormat="false" ht="15" hidden="false" customHeight="false" outlineLevel="0" collapsed="false">
      <c r="A17" s="112" t="n">
        <v>12</v>
      </c>
      <c r="B17" s="39"/>
      <c r="C17" s="39"/>
      <c r="D17" s="39"/>
      <c r="E17" s="39"/>
      <c r="F17" s="39"/>
      <c r="G17" s="39"/>
      <c r="H17" s="105" t="n">
        <v>0</v>
      </c>
      <c r="I17" s="105" t="n">
        <v>0</v>
      </c>
      <c r="J17" s="105" t="n">
        <v>0</v>
      </c>
      <c r="K17" s="105" t="n">
        <v>0</v>
      </c>
      <c r="L17" s="105" t="n">
        <v>0</v>
      </c>
      <c r="M17" s="105" t="n">
        <v>0</v>
      </c>
      <c r="N17" s="105" t="n">
        <v>0</v>
      </c>
      <c r="O17" s="105" t="n">
        <v>0</v>
      </c>
      <c r="P17" s="105" t="n">
        <v>0</v>
      </c>
      <c r="Q17" s="105" t="n">
        <v>0</v>
      </c>
      <c r="R17" s="113" t="n">
        <f aca="false">SUMPRODUCT($H$5:$Q$5,H17:Q17)/5</f>
        <v>0</v>
      </c>
      <c r="S17" s="13" t="str">
        <f aca="false">IF(SUM(H17:Q17)=0,"—",IF(R17&gt;=85,"Temsilci / Birim Başkanı adayı",IF(R17&gt;=70,"Aktif görevli / birim üyesi",IF(R17&gt;=50,"Gözlem — programlara davet et","Henüz görev verme"))))</f>
        <v>—</v>
      </c>
      <c r="T17" s="22"/>
    </row>
    <row r="18" customFormat="false" ht="15" hidden="false" customHeight="false" outlineLevel="0" collapsed="false">
      <c r="A18" s="112" t="n">
        <v>13</v>
      </c>
      <c r="B18" s="39"/>
      <c r="C18" s="39"/>
      <c r="D18" s="39"/>
      <c r="E18" s="39"/>
      <c r="F18" s="39"/>
      <c r="G18" s="39"/>
      <c r="H18" s="105" t="n">
        <v>0</v>
      </c>
      <c r="I18" s="105" t="n">
        <v>0</v>
      </c>
      <c r="J18" s="105" t="n">
        <v>0</v>
      </c>
      <c r="K18" s="105" t="n">
        <v>0</v>
      </c>
      <c r="L18" s="105" t="n">
        <v>0</v>
      </c>
      <c r="M18" s="105" t="n">
        <v>0</v>
      </c>
      <c r="N18" s="105" t="n">
        <v>0</v>
      </c>
      <c r="O18" s="105" t="n">
        <v>0</v>
      </c>
      <c r="P18" s="105" t="n">
        <v>0</v>
      </c>
      <c r="Q18" s="105" t="n">
        <v>0</v>
      </c>
      <c r="R18" s="113" t="n">
        <f aca="false">SUMPRODUCT($H$5:$Q$5,H18:Q18)/5</f>
        <v>0</v>
      </c>
      <c r="S18" s="13" t="str">
        <f aca="false">IF(SUM(H18:Q18)=0,"—",IF(R18&gt;=85,"Temsilci / Birim Başkanı adayı",IF(R18&gt;=70,"Aktif görevli / birim üyesi",IF(R18&gt;=50,"Gözlem — programlara davet et","Henüz görev verme"))))</f>
        <v>—</v>
      </c>
      <c r="T18" s="22"/>
    </row>
    <row r="19" customFormat="false" ht="15" hidden="false" customHeight="false" outlineLevel="0" collapsed="false">
      <c r="A19" s="112" t="n">
        <v>14</v>
      </c>
      <c r="B19" s="39"/>
      <c r="C19" s="39"/>
      <c r="D19" s="39"/>
      <c r="E19" s="39"/>
      <c r="F19" s="39"/>
      <c r="G19" s="39"/>
      <c r="H19" s="105" t="n">
        <v>0</v>
      </c>
      <c r="I19" s="105" t="n">
        <v>0</v>
      </c>
      <c r="J19" s="105" t="n">
        <v>0</v>
      </c>
      <c r="K19" s="105" t="n">
        <v>0</v>
      </c>
      <c r="L19" s="105" t="n">
        <v>0</v>
      </c>
      <c r="M19" s="105" t="n">
        <v>0</v>
      </c>
      <c r="N19" s="105" t="n">
        <v>0</v>
      </c>
      <c r="O19" s="105" t="n">
        <v>0</v>
      </c>
      <c r="P19" s="105" t="n">
        <v>0</v>
      </c>
      <c r="Q19" s="105" t="n">
        <v>0</v>
      </c>
      <c r="R19" s="113" t="n">
        <f aca="false">SUMPRODUCT($H$5:$Q$5,H19:Q19)/5</f>
        <v>0</v>
      </c>
      <c r="S19" s="13" t="str">
        <f aca="false">IF(SUM(H19:Q19)=0,"—",IF(R19&gt;=85,"Temsilci / Birim Başkanı adayı",IF(R19&gt;=70,"Aktif görevli / birim üyesi",IF(R19&gt;=50,"Gözlem — programlara davet et","Henüz görev verme"))))</f>
        <v>—</v>
      </c>
      <c r="T19" s="22"/>
    </row>
    <row r="20" customFormat="false" ht="15" hidden="false" customHeight="false" outlineLevel="0" collapsed="false">
      <c r="A20" s="112" t="n">
        <v>15</v>
      </c>
      <c r="B20" s="39"/>
      <c r="C20" s="39"/>
      <c r="D20" s="39"/>
      <c r="E20" s="39"/>
      <c r="F20" s="39"/>
      <c r="G20" s="39"/>
      <c r="H20" s="105" t="n">
        <v>0</v>
      </c>
      <c r="I20" s="105" t="n">
        <v>0</v>
      </c>
      <c r="J20" s="105" t="n">
        <v>0</v>
      </c>
      <c r="K20" s="105" t="n">
        <v>0</v>
      </c>
      <c r="L20" s="105" t="n">
        <v>0</v>
      </c>
      <c r="M20" s="105" t="n">
        <v>0</v>
      </c>
      <c r="N20" s="105" t="n">
        <v>0</v>
      </c>
      <c r="O20" s="105" t="n">
        <v>0</v>
      </c>
      <c r="P20" s="105" t="n">
        <v>0</v>
      </c>
      <c r="Q20" s="105" t="n">
        <v>0</v>
      </c>
      <c r="R20" s="113" t="n">
        <f aca="false">SUMPRODUCT($H$5:$Q$5,H20:Q20)/5</f>
        <v>0</v>
      </c>
      <c r="S20" s="13" t="str">
        <f aca="false">IF(SUM(H20:Q20)=0,"—",IF(R20&gt;=85,"Temsilci / Birim Başkanı adayı",IF(R20&gt;=70,"Aktif görevli / birim üyesi",IF(R20&gt;=50,"Gözlem — programlara davet et","Henüz görev verme"))))</f>
        <v>—</v>
      </c>
      <c r="T20" s="22"/>
    </row>
    <row r="21" customFormat="false" ht="15" hidden="false" customHeight="false" outlineLevel="0" collapsed="false">
      <c r="A21" s="112" t="n">
        <v>16</v>
      </c>
      <c r="B21" s="39"/>
      <c r="C21" s="39"/>
      <c r="D21" s="39"/>
      <c r="E21" s="39"/>
      <c r="F21" s="39"/>
      <c r="G21" s="39"/>
      <c r="H21" s="105" t="n">
        <v>0</v>
      </c>
      <c r="I21" s="105" t="n">
        <v>0</v>
      </c>
      <c r="J21" s="105" t="n">
        <v>0</v>
      </c>
      <c r="K21" s="105" t="n">
        <v>0</v>
      </c>
      <c r="L21" s="105" t="n">
        <v>0</v>
      </c>
      <c r="M21" s="105" t="n">
        <v>0</v>
      </c>
      <c r="N21" s="105" t="n">
        <v>0</v>
      </c>
      <c r="O21" s="105" t="n">
        <v>0</v>
      </c>
      <c r="P21" s="105" t="n">
        <v>0</v>
      </c>
      <c r="Q21" s="105" t="n">
        <v>0</v>
      </c>
      <c r="R21" s="113" t="n">
        <f aca="false">SUMPRODUCT($H$5:$Q$5,H21:Q21)/5</f>
        <v>0</v>
      </c>
      <c r="S21" s="13" t="str">
        <f aca="false">IF(SUM(H21:Q21)=0,"—",IF(R21&gt;=85,"Temsilci / Birim Başkanı adayı",IF(R21&gt;=70,"Aktif görevli / birim üyesi",IF(R21&gt;=50,"Gözlem — programlara davet et","Henüz görev verme"))))</f>
        <v>—</v>
      </c>
      <c r="T21" s="22"/>
    </row>
    <row r="22" customFormat="false" ht="15" hidden="false" customHeight="false" outlineLevel="0" collapsed="false">
      <c r="A22" s="112" t="n">
        <v>17</v>
      </c>
      <c r="B22" s="39"/>
      <c r="C22" s="39"/>
      <c r="D22" s="39"/>
      <c r="E22" s="39"/>
      <c r="F22" s="39"/>
      <c r="G22" s="39"/>
      <c r="H22" s="105" t="n">
        <v>0</v>
      </c>
      <c r="I22" s="105" t="n">
        <v>0</v>
      </c>
      <c r="J22" s="105" t="n">
        <v>0</v>
      </c>
      <c r="K22" s="105" t="n">
        <v>0</v>
      </c>
      <c r="L22" s="105" t="n">
        <v>0</v>
      </c>
      <c r="M22" s="105" t="n">
        <v>0</v>
      </c>
      <c r="N22" s="105" t="n">
        <v>0</v>
      </c>
      <c r="O22" s="105" t="n">
        <v>0</v>
      </c>
      <c r="P22" s="105" t="n">
        <v>0</v>
      </c>
      <c r="Q22" s="105" t="n">
        <v>0</v>
      </c>
      <c r="R22" s="113" t="n">
        <f aca="false">SUMPRODUCT($H$5:$Q$5,H22:Q22)/5</f>
        <v>0</v>
      </c>
      <c r="S22" s="13" t="str">
        <f aca="false">IF(SUM(H22:Q22)=0,"—",IF(R22&gt;=85,"Temsilci / Birim Başkanı adayı",IF(R22&gt;=70,"Aktif görevli / birim üyesi",IF(R22&gt;=50,"Gözlem — programlara davet et","Henüz görev verme"))))</f>
        <v>—</v>
      </c>
      <c r="T22" s="22"/>
    </row>
    <row r="23" customFormat="false" ht="15" hidden="false" customHeight="false" outlineLevel="0" collapsed="false">
      <c r="A23" s="112" t="n">
        <v>18</v>
      </c>
      <c r="B23" s="39"/>
      <c r="C23" s="39"/>
      <c r="D23" s="39"/>
      <c r="E23" s="39"/>
      <c r="F23" s="39"/>
      <c r="G23" s="39"/>
      <c r="H23" s="105" t="n">
        <v>0</v>
      </c>
      <c r="I23" s="105" t="n">
        <v>0</v>
      </c>
      <c r="J23" s="105" t="n">
        <v>0</v>
      </c>
      <c r="K23" s="105" t="n">
        <v>0</v>
      </c>
      <c r="L23" s="105" t="n">
        <v>0</v>
      </c>
      <c r="M23" s="105" t="n">
        <v>0</v>
      </c>
      <c r="N23" s="105" t="n">
        <v>0</v>
      </c>
      <c r="O23" s="105" t="n">
        <v>0</v>
      </c>
      <c r="P23" s="105" t="n">
        <v>0</v>
      </c>
      <c r="Q23" s="105" t="n">
        <v>0</v>
      </c>
      <c r="R23" s="113" t="n">
        <f aca="false">SUMPRODUCT($H$5:$Q$5,H23:Q23)/5</f>
        <v>0</v>
      </c>
      <c r="S23" s="13" t="str">
        <f aca="false">IF(SUM(H23:Q23)=0,"—",IF(R23&gt;=85,"Temsilci / Birim Başkanı adayı",IF(R23&gt;=70,"Aktif görevli / birim üyesi",IF(R23&gt;=50,"Gözlem — programlara davet et","Henüz görev verme"))))</f>
        <v>—</v>
      </c>
      <c r="T23" s="22"/>
    </row>
    <row r="24" customFormat="false" ht="15" hidden="false" customHeight="false" outlineLevel="0" collapsed="false">
      <c r="A24" s="112" t="n">
        <v>19</v>
      </c>
      <c r="B24" s="39"/>
      <c r="C24" s="39"/>
      <c r="D24" s="39"/>
      <c r="E24" s="39"/>
      <c r="F24" s="39"/>
      <c r="G24" s="39"/>
      <c r="H24" s="105" t="n">
        <v>0</v>
      </c>
      <c r="I24" s="105" t="n">
        <v>0</v>
      </c>
      <c r="J24" s="105" t="n">
        <v>0</v>
      </c>
      <c r="K24" s="105" t="n">
        <v>0</v>
      </c>
      <c r="L24" s="105" t="n">
        <v>0</v>
      </c>
      <c r="M24" s="105" t="n">
        <v>0</v>
      </c>
      <c r="N24" s="105" t="n">
        <v>0</v>
      </c>
      <c r="O24" s="105" t="n">
        <v>0</v>
      </c>
      <c r="P24" s="105" t="n">
        <v>0</v>
      </c>
      <c r="Q24" s="105" t="n">
        <v>0</v>
      </c>
      <c r="R24" s="113" t="n">
        <f aca="false">SUMPRODUCT($H$5:$Q$5,H24:Q24)/5</f>
        <v>0</v>
      </c>
      <c r="S24" s="13" t="str">
        <f aca="false">IF(SUM(H24:Q24)=0,"—",IF(R24&gt;=85,"Temsilci / Birim Başkanı adayı",IF(R24&gt;=70,"Aktif görevli / birim üyesi",IF(R24&gt;=50,"Gözlem — programlara davet et","Henüz görev verme"))))</f>
        <v>—</v>
      </c>
      <c r="T24" s="22"/>
    </row>
    <row r="25" customFormat="false" ht="15" hidden="false" customHeight="false" outlineLevel="0" collapsed="false">
      <c r="A25" s="112" t="n">
        <v>20</v>
      </c>
      <c r="B25" s="39"/>
      <c r="C25" s="39"/>
      <c r="D25" s="39"/>
      <c r="E25" s="39"/>
      <c r="F25" s="39"/>
      <c r="G25" s="39"/>
      <c r="H25" s="105" t="n">
        <v>0</v>
      </c>
      <c r="I25" s="105" t="n">
        <v>0</v>
      </c>
      <c r="J25" s="105" t="n">
        <v>0</v>
      </c>
      <c r="K25" s="105" t="n">
        <v>0</v>
      </c>
      <c r="L25" s="105" t="n">
        <v>0</v>
      </c>
      <c r="M25" s="105" t="n">
        <v>0</v>
      </c>
      <c r="N25" s="105" t="n">
        <v>0</v>
      </c>
      <c r="O25" s="105" t="n">
        <v>0</v>
      </c>
      <c r="P25" s="105" t="n">
        <v>0</v>
      </c>
      <c r="Q25" s="105" t="n">
        <v>0</v>
      </c>
      <c r="R25" s="113" t="n">
        <f aca="false">SUMPRODUCT($H$5:$Q$5,H25:Q25)/5</f>
        <v>0</v>
      </c>
      <c r="S25" s="13" t="str">
        <f aca="false">IF(SUM(H25:Q25)=0,"—",IF(R25&gt;=85,"Temsilci / Birim Başkanı adayı",IF(R25&gt;=70,"Aktif görevli / birim üyesi",IF(R25&gt;=50,"Gözlem — programlara davet et","Henüz görev verme"))))</f>
        <v>—</v>
      </c>
      <c r="T25" s="22"/>
    </row>
    <row r="27" customFormat="false" ht="15" hidden="false" customHeight="false" outlineLevel="0" collapsed="false">
      <c r="B27" s="27" t="s">
        <v>820</v>
      </c>
      <c r="F27" s="40" t="n">
        <f aca="false">COUNTA(B6:B25)</f>
        <v>0</v>
      </c>
    </row>
    <row r="28" customFormat="false" ht="15" hidden="false" customHeight="false" outlineLevel="0" collapsed="false">
      <c r="B28" s="27" t="s">
        <v>821</v>
      </c>
      <c r="F28" s="40" t="n">
        <f aca="false">COUNTIF(R6:R25,"&gt;=85")</f>
        <v>0</v>
      </c>
    </row>
    <row r="29" customFormat="false" ht="15" hidden="false" customHeight="false" outlineLevel="0" collapsed="false">
      <c r="B29" s="27" t="s">
        <v>822</v>
      </c>
      <c r="F29" s="40" t="n">
        <f aca="false">COUNTIFS(R6:R25,"&gt;=70",R6:R25,"&lt;85")</f>
        <v>0</v>
      </c>
    </row>
    <row r="30" customFormat="false" ht="15" hidden="false" customHeight="false" outlineLevel="0" collapsed="false">
      <c r="B30" s="27" t="s">
        <v>823</v>
      </c>
      <c r="F30" s="40" t="n">
        <f aca="false">COUNTIFS(R6:R25,"&gt;=50",R6:R25,"&lt;70")</f>
        <v>0</v>
      </c>
    </row>
    <row r="32" customFormat="false" ht="64.5" hidden="false" customHeight="true" outlineLevel="0" collapsed="false">
      <c r="A32" s="21" t="s">
        <v>824</v>
      </c>
      <c r="B32" s="21"/>
      <c r="C32" s="21"/>
      <c r="D32" s="21"/>
      <c r="E32" s="21"/>
      <c r="F32" s="21"/>
      <c r="G32" s="21"/>
      <c r="H32" s="21"/>
      <c r="I32" s="21"/>
      <c r="J32" s="21"/>
      <c r="K32" s="21"/>
      <c r="L32" s="21"/>
      <c r="M32" s="21"/>
      <c r="N32" s="21"/>
      <c r="O32" s="21"/>
      <c r="P32" s="21"/>
      <c r="Q32" s="21"/>
      <c r="R32" s="21"/>
      <c r="S32" s="21"/>
      <c r="T32" s="21"/>
    </row>
  </sheetData>
  <mergeCells count="3">
    <mergeCell ref="A1:T1"/>
    <mergeCell ref="A2:T2"/>
    <mergeCell ref="A32:T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32"/>
    <col collapsed="false" customWidth="true" hidden="false" outlineLevel="0" max="4" min="4" style="0" width="40"/>
  </cols>
  <sheetData>
    <row r="1" customFormat="false" ht="25.5" hidden="false" customHeight="true" outlineLevel="0" collapsed="false">
      <c r="A1" s="1" t="s">
        <v>825</v>
      </c>
      <c r="B1" s="1"/>
      <c r="C1" s="1"/>
      <c r="D1" s="1"/>
    </row>
    <row r="2" customFormat="false" ht="15" hidden="false" customHeight="false" outlineLevel="0" collapsed="false">
      <c r="B2" s="111" t="s">
        <v>826</v>
      </c>
    </row>
    <row r="4" customFormat="false" ht="19.5" hidden="false" customHeight="true" outlineLevel="0" collapsed="false">
      <c r="A4" s="28" t="s">
        <v>827</v>
      </c>
      <c r="B4" s="28"/>
      <c r="C4" s="28"/>
      <c r="D4" s="28"/>
    </row>
    <row r="5" customFormat="false" ht="15" hidden="false" customHeight="false" outlineLevel="0" collapsed="false">
      <c r="B5" s="90" t="s">
        <v>828</v>
      </c>
      <c r="C5" s="22"/>
      <c r="D5" s="22"/>
    </row>
    <row r="6" customFormat="false" ht="15" hidden="false" customHeight="false" outlineLevel="0" collapsed="false">
      <c r="B6" s="90" t="s">
        <v>829</v>
      </c>
      <c r="C6" s="22"/>
      <c r="D6" s="22"/>
    </row>
    <row r="7" customFormat="false" ht="15" hidden="false" customHeight="false" outlineLevel="0" collapsed="false">
      <c r="B7" s="90" t="s">
        <v>830</v>
      </c>
      <c r="C7" s="22"/>
      <c r="D7" s="22"/>
    </row>
    <row r="8" customFormat="false" ht="15" hidden="false" customHeight="false" outlineLevel="0" collapsed="false">
      <c r="B8" s="90" t="s">
        <v>831</v>
      </c>
      <c r="C8" s="22"/>
      <c r="D8" s="22"/>
    </row>
    <row r="9" customFormat="false" ht="15" hidden="false" customHeight="false" outlineLevel="0" collapsed="false">
      <c r="B9" s="90" t="s">
        <v>832</v>
      </c>
      <c r="C9" s="22"/>
      <c r="D9" s="22"/>
    </row>
    <row r="10" customFormat="false" ht="15" hidden="false" customHeight="false" outlineLevel="0" collapsed="false">
      <c r="B10" s="90" t="s">
        <v>833</v>
      </c>
      <c r="C10" s="22"/>
      <c r="D10" s="22"/>
    </row>
    <row r="11" customFormat="false" ht="15" hidden="false" customHeight="false" outlineLevel="0" collapsed="false">
      <c r="B11" s="90" t="s">
        <v>758</v>
      </c>
      <c r="C11" s="22"/>
      <c r="D11" s="22"/>
    </row>
    <row r="13" customFormat="false" ht="19.5" hidden="false" customHeight="true" outlineLevel="0" collapsed="false">
      <c r="A13" s="28" t="s">
        <v>834</v>
      </c>
      <c r="B13" s="28"/>
      <c r="C13" s="28"/>
      <c r="D13" s="28"/>
    </row>
    <row r="14" customFormat="false" ht="30" hidden="false" customHeight="true" outlineLevel="0" collapsed="false">
      <c r="A14" s="12" t="s">
        <v>142</v>
      </c>
      <c r="B14" s="12" t="s">
        <v>835</v>
      </c>
      <c r="C14" s="12" t="s">
        <v>836</v>
      </c>
      <c r="D14" s="12" t="s">
        <v>146</v>
      </c>
    </row>
    <row r="15" customFormat="false" ht="23.85" hidden="false" customHeight="false" outlineLevel="0" collapsed="false">
      <c r="A15" s="13" t="n">
        <v>1</v>
      </c>
      <c r="B15" s="13" t="s">
        <v>837</v>
      </c>
      <c r="C15" s="39"/>
      <c r="D15" s="39"/>
    </row>
    <row r="16" customFormat="false" ht="15" hidden="false" customHeight="false" outlineLevel="0" collapsed="false">
      <c r="A16" s="13" t="n">
        <v>2</v>
      </c>
      <c r="B16" s="13" t="s">
        <v>838</v>
      </c>
      <c r="C16" s="39"/>
      <c r="D16" s="39"/>
    </row>
    <row r="17" customFormat="false" ht="23.85" hidden="false" customHeight="false" outlineLevel="0" collapsed="false">
      <c r="A17" s="13" t="n">
        <v>3</v>
      </c>
      <c r="B17" s="13" t="s">
        <v>839</v>
      </c>
      <c r="C17" s="39"/>
      <c r="D17" s="39"/>
    </row>
    <row r="18" customFormat="false" ht="23.85" hidden="false" customHeight="false" outlineLevel="0" collapsed="false">
      <c r="A18" s="13" t="n">
        <v>4</v>
      </c>
      <c r="B18" s="13" t="s">
        <v>840</v>
      </c>
      <c r="C18" s="39"/>
      <c r="D18" s="39"/>
    </row>
    <row r="19" customFormat="false" ht="23.85" hidden="false" customHeight="false" outlineLevel="0" collapsed="false">
      <c r="A19" s="13" t="n">
        <v>5</v>
      </c>
      <c r="B19" s="13" t="s">
        <v>841</v>
      </c>
      <c r="C19" s="39"/>
      <c r="D19" s="39"/>
    </row>
    <row r="20" customFormat="false" ht="15" hidden="false" customHeight="false" outlineLevel="0" collapsed="false">
      <c r="A20" s="13" t="n">
        <v>6</v>
      </c>
      <c r="B20" s="13" t="s">
        <v>842</v>
      </c>
      <c r="C20" s="39"/>
      <c r="D20" s="39"/>
    </row>
    <row r="21" customFormat="false" ht="15" hidden="false" customHeight="false" outlineLevel="0" collapsed="false">
      <c r="A21" s="13" t="n">
        <v>7</v>
      </c>
      <c r="B21" s="13" t="s">
        <v>843</v>
      </c>
      <c r="C21" s="39"/>
      <c r="D21" s="39"/>
    </row>
    <row r="22" customFormat="false" ht="23.85" hidden="false" customHeight="false" outlineLevel="0" collapsed="false">
      <c r="A22" s="13" t="n">
        <v>8</v>
      </c>
      <c r="B22" s="13" t="s">
        <v>844</v>
      </c>
      <c r="C22" s="39"/>
      <c r="D22" s="39"/>
    </row>
    <row r="23" customFormat="false" ht="23.85" hidden="false" customHeight="false" outlineLevel="0" collapsed="false">
      <c r="A23" s="13" t="n">
        <v>9</v>
      </c>
      <c r="B23" s="13" t="s">
        <v>845</v>
      </c>
      <c r="C23" s="39"/>
      <c r="D23" s="39"/>
    </row>
    <row r="24" customFormat="false" ht="15" hidden="false" customHeight="false" outlineLevel="0" collapsed="false">
      <c r="A24" s="13" t="n">
        <v>10</v>
      </c>
      <c r="B24" s="13" t="s">
        <v>846</v>
      </c>
      <c r="C24" s="39"/>
      <c r="D24" s="39"/>
    </row>
    <row r="25" customFormat="false" ht="23.85" hidden="false" customHeight="false" outlineLevel="0" collapsed="false">
      <c r="A25" s="13" t="n">
        <v>11</v>
      </c>
      <c r="B25" s="13" t="s">
        <v>847</v>
      </c>
      <c r="C25" s="39"/>
      <c r="D25" s="39"/>
    </row>
    <row r="26" customFormat="false" ht="23.85" hidden="false" customHeight="false" outlineLevel="0" collapsed="false">
      <c r="A26" s="13" t="n">
        <v>12</v>
      </c>
      <c r="B26" s="13" t="s">
        <v>848</v>
      </c>
      <c r="C26" s="39"/>
      <c r="D26" s="39"/>
    </row>
    <row r="27" customFormat="false" ht="15" hidden="false" customHeight="false" outlineLevel="0" collapsed="false">
      <c r="A27" s="13" t="n">
        <v>13</v>
      </c>
      <c r="B27" s="13" t="s">
        <v>849</v>
      </c>
      <c r="C27" s="39"/>
      <c r="D27" s="39"/>
    </row>
    <row r="28" customFormat="false" ht="15" hidden="false" customHeight="false" outlineLevel="0" collapsed="false">
      <c r="A28" s="13" t="n">
        <v>14</v>
      </c>
      <c r="B28" s="13" t="s">
        <v>850</v>
      </c>
      <c r="C28" s="39"/>
      <c r="D28" s="39"/>
    </row>
    <row r="29" customFormat="false" ht="23.85" hidden="false" customHeight="false" outlineLevel="0" collapsed="false">
      <c r="A29" s="13" t="n">
        <v>15</v>
      </c>
      <c r="B29" s="13" t="s">
        <v>851</v>
      </c>
      <c r="C29" s="39"/>
      <c r="D29" s="39"/>
    </row>
    <row r="30" customFormat="false" ht="15" hidden="false" customHeight="false" outlineLevel="0" collapsed="false">
      <c r="A30" s="13" t="n">
        <v>16</v>
      </c>
      <c r="B30" s="13" t="s">
        <v>852</v>
      </c>
      <c r="C30" s="39"/>
      <c r="D30" s="39"/>
    </row>
    <row r="31" customFormat="false" ht="15" hidden="false" customHeight="false" outlineLevel="0" collapsed="false">
      <c r="A31" s="13" t="n">
        <v>17</v>
      </c>
      <c r="B31" s="13" t="s">
        <v>853</v>
      </c>
      <c r="C31" s="39"/>
      <c r="D31" s="39"/>
    </row>
    <row r="32" customFormat="false" ht="23.85" hidden="false" customHeight="false" outlineLevel="0" collapsed="false">
      <c r="A32" s="13" t="n">
        <v>18</v>
      </c>
      <c r="B32" s="13" t="s">
        <v>854</v>
      </c>
      <c r="C32" s="39"/>
      <c r="D32" s="39"/>
    </row>
    <row r="33" customFormat="false" ht="23.85" hidden="false" customHeight="false" outlineLevel="0" collapsed="false">
      <c r="A33" s="13" t="n">
        <v>19</v>
      </c>
      <c r="B33" s="13" t="s">
        <v>855</v>
      </c>
      <c r="C33" s="39"/>
      <c r="D33" s="39"/>
    </row>
    <row r="35" customFormat="false" ht="19.5" hidden="false" customHeight="true" outlineLevel="0" collapsed="false">
      <c r="A35" s="28" t="s">
        <v>856</v>
      </c>
      <c r="B35" s="28"/>
      <c r="C35" s="28"/>
      <c r="D35" s="28"/>
    </row>
    <row r="36" customFormat="false" ht="24" hidden="false" customHeight="true" outlineLevel="0" collapsed="false">
      <c r="B36" s="90" t="s">
        <v>857</v>
      </c>
      <c r="C36" s="22"/>
      <c r="D36" s="22"/>
    </row>
    <row r="37" customFormat="false" ht="24" hidden="false" customHeight="true" outlineLevel="0" collapsed="false">
      <c r="B37" s="90" t="s">
        <v>858</v>
      </c>
      <c r="C37" s="22"/>
      <c r="D37" s="22"/>
    </row>
    <row r="38" customFormat="false" ht="24" hidden="false" customHeight="true" outlineLevel="0" collapsed="false">
      <c r="B38" s="90" t="s">
        <v>859</v>
      </c>
      <c r="C38" s="22"/>
      <c r="D38" s="22"/>
    </row>
    <row r="39" customFormat="false" ht="24" hidden="false" customHeight="true" outlineLevel="0" collapsed="false">
      <c r="B39" s="90" t="s">
        <v>860</v>
      </c>
      <c r="C39" s="22"/>
      <c r="D39" s="22"/>
    </row>
    <row r="40" customFormat="false" ht="24" hidden="false" customHeight="true" outlineLevel="0" collapsed="false">
      <c r="B40" s="90" t="s">
        <v>861</v>
      </c>
      <c r="C40" s="22"/>
      <c r="D40" s="22"/>
    </row>
    <row r="41" customFormat="false" ht="24" hidden="false" customHeight="true" outlineLevel="0" collapsed="false">
      <c r="B41" s="90" t="s">
        <v>862</v>
      </c>
      <c r="C41" s="22"/>
      <c r="D41" s="22"/>
    </row>
    <row r="42" customFormat="false" ht="24" hidden="false" customHeight="true" outlineLevel="0" collapsed="false">
      <c r="B42" s="90" t="s">
        <v>863</v>
      </c>
      <c r="C42" s="22"/>
      <c r="D42" s="22"/>
    </row>
    <row r="44" customFormat="false" ht="61.5" hidden="false" customHeight="true" outlineLevel="0" collapsed="false">
      <c r="A44" s="11" t="s">
        <v>864</v>
      </c>
      <c r="B44" s="11"/>
      <c r="C44" s="11"/>
      <c r="D44" s="11"/>
    </row>
  </sheetData>
  <mergeCells count="19">
    <mergeCell ref="A1:D1"/>
    <mergeCell ref="A4:D4"/>
    <mergeCell ref="C5:D5"/>
    <mergeCell ref="C6:D6"/>
    <mergeCell ref="C7:D7"/>
    <mergeCell ref="C8:D8"/>
    <mergeCell ref="C9:D9"/>
    <mergeCell ref="C10:D10"/>
    <mergeCell ref="C11:D11"/>
    <mergeCell ref="A13:D13"/>
    <mergeCell ref="A35:D35"/>
    <mergeCell ref="C36:D36"/>
    <mergeCell ref="C37:D37"/>
    <mergeCell ref="C38:D38"/>
    <mergeCell ref="C39:D39"/>
    <mergeCell ref="C40:D40"/>
    <mergeCell ref="C41:D41"/>
    <mergeCell ref="C42:D42"/>
    <mergeCell ref="A44:D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52"/>
    <col collapsed="false" customWidth="true" hidden="false" outlineLevel="0" max="4" min="4" style="0" width="22"/>
    <col collapsed="false" customWidth="true" hidden="false" outlineLevel="0" max="5" min="5" style="0" width="26"/>
    <col collapsed="false" customWidth="true" hidden="false" outlineLevel="0" max="6" min="6" style="0" width="46"/>
  </cols>
  <sheetData>
    <row r="1" customFormat="false" ht="25.5" hidden="false" customHeight="true" outlineLevel="0" collapsed="false">
      <c r="A1" s="1" t="s">
        <v>865</v>
      </c>
      <c r="B1" s="1"/>
      <c r="C1" s="1"/>
      <c r="D1" s="1"/>
      <c r="E1" s="1"/>
      <c r="F1" s="1"/>
    </row>
    <row r="2" customFormat="false" ht="30" hidden="false" customHeight="true" outlineLevel="0" collapsed="false">
      <c r="A2" s="11" t="s">
        <v>866</v>
      </c>
      <c r="B2" s="11"/>
      <c r="C2" s="11"/>
      <c r="D2" s="11"/>
      <c r="E2" s="11"/>
      <c r="F2" s="11"/>
    </row>
    <row r="3" customFormat="false" ht="30" hidden="false" customHeight="true" outlineLevel="0" collapsed="false">
      <c r="A3" s="12" t="s">
        <v>230</v>
      </c>
      <c r="B3" s="12" t="s">
        <v>867</v>
      </c>
      <c r="C3" s="12" t="s">
        <v>756</v>
      </c>
      <c r="D3" s="12" t="s">
        <v>868</v>
      </c>
      <c r="E3" s="12" t="s">
        <v>869</v>
      </c>
      <c r="F3" s="12" t="s">
        <v>870</v>
      </c>
    </row>
    <row r="4" customFormat="false" ht="42" hidden="false" customHeight="true" outlineLevel="0" collapsed="false">
      <c r="A4" s="40" t="s">
        <v>871</v>
      </c>
      <c r="B4" s="13" t="s">
        <v>872</v>
      </c>
      <c r="C4" s="13" t="s">
        <v>873</v>
      </c>
      <c r="D4" s="13" t="s">
        <v>874</v>
      </c>
      <c r="E4" s="13" t="s">
        <v>875</v>
      </c>
      <c r="F4" s="13" t="s">
        <v>876</v>
      </c>
    </row>
    <row r="5" customFormat="false" ht="42" hidden="false" customHeight="true" outlineLevel="0" collapsed="false">
      <c r="A5" s="40" t="s">
        <v>877</v>
      </c>
      <c r="B5" s="13" t="s">
        <v>878</v>
      </c>
      <c r="C5" s="13" t="s">
        <v>879</v>
      </c>
      <c r="D5" s="13" t="s">
        <v>880</v>
      </c>
      <c r="E5" s="13" t="s">
        <v>881</v>
      </c>
      <c r="F5" s="13" t="s">
        <v>882</v>
      </c>
    </row>
    <row r="6" customFormat="false" ht="42" hidden="false" customHeight="true" outlineLevel="0" collapsed="false">
      <c r="A6" s="40" t="s">
        <v>883</v>
      </c>
      <c r="B6" s="13" t="s">
        <v>884</v>
      </c>
      <c r="C6" s="13" t="s">
        <v>885</v>
      </c>
      <c r="D6" s="13" t="s">
        <v>886</v>
      </c>
      <c r="E6" s="13" t="s">
        <v>887</v>
      </c>
      <c r="F6" s="13" t="s">
        <v>888</v>
      </c>
    </row>
    <row r="7" customFormat="false" ht="42" hidden="false" customHeight="true" outlineLevel="0" collapsed="false">
      <c r="A7" s="40" t="s">
        <v>883</v>
      </c>
      <c r="B7" s="13" t="s">
        <v>889</v>
      </c>
      <c r="C7" s="13" t="s">
        <v>890</v>
      </c>
      <c r="D7" s="13" t="s">
        <v>874</v>
      </c>
      <c r="E7" s="13" t="s">
        <v>891</v>
      </c>
      <c r="F7" s="13" t="s">
        <v>892</v>
      </c>
    </row>
    <row r="8" customFormat="false" ht="42" hidden="false" customHeight="true" outlineLevel="0" collapsed="false">
      <c r="A8" s="40" t="s">
        <v>254</v>
      </c>
      <c r="B8" s="13" t="s">
        <v>893</v>
      </c>
      <c r="C8" s="13" t="s">
        <v>894</v>
      </c>
      <c r="D8" s="13" t="s">
        <v>895</v>
      </c>
      <c r="E8" s="13" t="s">
        <v>297</v>
      </c>
      <c r="F8" s="13" t="s">
        <v>896</v>
      </c>
    </row>
    <row r="9" customFormat="false" ht="42" hidden="false" customHeight="true" outlineLevel="0" collapsed="false">
      <c r="A9" s="40" t="s">
        <v>897</v>
      </c>
      <c r="B9" s="13" t="s">
        <v>898</v>
      </c>
      <c r="C9" s="13" t="s">
        <v>899</v>
      </c>
      <c r="D9" s="13" t="s">
        <v>900</v>
      </c>
      <c r="E9" s="13" t="s">
        <v>901</v>
      </c>
      <c r="F9" s="13" t="s">
        <v>902</v>
      </c>
    </row>
    <row r="10" customFormat="false" ht="42" hidden="false" customHeight="true" outlineLevel="0" collapsed="false">
      <c r="A10" s="40" t="s">
        <v>897</v>
      </c>
      <c r="B10" s="13" t="s">
        <v>884</v>
      </c>
      <c r="C10" s="13" t="s">
        <v>903</v>
      </c>
      <c r="D10" s="13" t="s">
        <v>874</v>
      </c>
      <c r="E10" s="13" t="s">
        <v>904</v>
      </c>
      <c r="F10" s="13" t="s">
        <v>905</v>
      </c>
    </row>
    <row r="11" customFormat="false" ht="42" hidden="false" customHeight="true" outlineLevel="0" collapsed="false">
      <c r="A11" s="40" t="s">
        <v>897</v>
      </c>
      <c r="B11" s="13" t="s">
        <v>906</v>
      </c>
      <c r="C11" s="13" t="s">
        <v>907</v>
      </c>
      <c r="D11" s="13" t="s">
        <v>908</v>
      </c>
      <c r="E11" s="13" t="s">
        <v>297</v>
      </c>
      <c r="F11" s="13" t="s">
        <v>909</v>
      </c>
    </row>
    <row r="14" customFormat="false" ht="19.5" hidden="false" customHeight="true" outlineLevel="0" collapsed="false">
      <c r="A14" s="28" t="s">
        <v>910</v>
      </c>
      <c r="B14" s="28"/>
      <c r="C14" s="28"/>
      <c r="D14" s="28"/>
      <c r="E14" s="28"/>
      <c r="F14" s="28"/>
    </row>
    <row r="15" customFormat="false" ht="30" hidden="false" customHeight="true" outlineLevel="0" collapsed="false">
      <c r="A15" s="12" t="s">
        <v>911</v>
      </c>
      <c r="B15" s="12" t="s">
        <v>112</v>
      </c>
      <c r="C15" s="12" t="s">
        <v>912</v>
      </c>
      <c r="D15" s="12" t="s">
        <v>146</v>
      </c>
      <c r="E15" s="12"/>
      <c r="F15" s="12"/>
    </row>
    <row r="16" customFormat="false" ht="46.25" hidden="false" customHeight="false" outlineLevel="0" collapsed="false">
      <c r="A16" s="20" t="s">
        <v>913</v>
      </c>
      <c r="B16" s="30" t="n">
        <v>15</v>
      </c>
      <c r="C16" s="34" t="s">
        <v>914</v>
      </c>
      <c r="D16" s="13" t="s">
        <v>915</v>
      </c>
      <c r="E16" s="31"/>
      <c r="F16" s="31"/>
    </row>
    <row r="17" customFormat="false" ht="23.85" hidden="false" customHeight="false" outlineLevel="0" collapsed="false">
      <c r="A17" s="20" t="s">
        <v>916</v>
      </c>
      <c r="B17" s="30" t="n">
        <v>44</v>
      </c>
      <c r="C17" s="34" t="s">
        <v>917</v>
      </c>
      <c r="D17" s="13" t="s">
        <v>918</v>
      </c>
      <c r="E17" s="31"/>
      <c r="F17" s="31"/>
    </row>
    <row r="18" customFormat="false" ht="35.05" hidden="false" customHeight="false" outlineLevel="0" collapsed="false">
      <c r="A18" s="20" t="s">
        <v>919</v>
      </c>
      <c r="B18" s="102" t="n">
        <f aca="false">B16*B17</f>
        <v>660</v>
      </c>
      <c r="C18" s="34" t="s">
        <v>920</v>
      </c>
      <c r="D18" s="13" t="s">
        <v>921</v>
      </c>
      <c r="E18" s="31"/>
      <c r="F18" s="31"/>
    </row>
    <row r="19" customFormat="false" ht="35.05" hidden="false" customHeight="false" outlineLevel="0" collapsed="false">
      <c r="A19" s="20" t="s">
        <v>922</v>
      </c>
      <c r="B19" s="30" t="n">
        <v>4</v>
      </c>
      <c r="C19" s="34" t="s">
        <v>923</v>
      </c>
      <c r="D19" s="13" t="s">
        <v>924</v>
      </c>
      <c r="E19" s="31"/>
      <c r="F19" s="31"/>
    </row>
    <row r="20" customFormat="false" ht="23.85" hidden="false" customHeight="false" outlineLevel="0" collapsed="false">
      <c r="A20" s="20" t="s">
        <v>925</v>
      </c>
      <c r="B20" s="30" t="n">
        <v>3</v>
      </c>
      <c r="C20" s="34" t="s">
        <v>926</v>
      </c>
      <c r="D20" s="13" t="s">
        <v>927</v>
      </c>
      <c r="E20" s="31"/>
      <c r="F20" s="31"/>
    </row>
    <row r="21" customFormat="false" ht="35.05" hidden="false" customHeight="false" outlineLevel="0" collapsed="false">
      <c r="A21" s="20" t="s">
        <v>928</v>
      </c>
      <c r="B21" s="102" t="n">
        <f aca="false">B20*11</f>
        <v>33</v>
      </c>
      <c r="C21" s="34" t="s">
        <v>929</v>
      </c>
      <c r="D21" s="13" t="s">
        <v>930</v>
      </c>
      <c r="E21" s="31"/>
      <c r="F21" s="31"/>
    </row>
    <row r="22" customFormat="false" ht="23.85" hidden="false" customHeight="false" outlineLevel="0" collapsed="false">
      <c r="A22" s="20" t="s">
        <v>931</v>
      </c>
      <c r="B22" s="30" t="n">
        <v>1.5</v>
      </c>
      <c r="C22" s="34" t="s">
        <v>923</v>
      </c>
      <c r="D22" s="13" t="s">
        <v>932</v>
      </c>
      <c r="E22" s="31"/>
      <c r="F22" s="31"/>
    </row>
    <row r="23" customFormat="false" ht="23.85" hidden="false" customHeight="false" outlineLevel="0" collapsed="false">
      <c r="A23" s="20" t="s">
        <v>933</v>
      </c>
      <c r="B23" s="30" t="n">
        <v>60</v>
      </c>
      <c r="C23" s="34" t="s">
        <v>934</v>
      </c>
      <c r="D23" s="13" t="s">
        <v>935</v>
      </c>
      <c r="E23" s="31"/>
      <c r="F23" s="31"/>
    </row>
    <row r="25" customFormat="false" ht="45" hidden="false" customHeight="true" outlineLevel="0" collapsed="false">
      <c r="A25" s="21" t="s">
        <v>936</v>
      </c>
      <c r="B25" s="21"/>
      <c r="C25" s="21"/>
      <c r="D25" s="21"/>
      <c r="E25" s="21"/>
      <c r="F25" s="21"/>
    </row>
  </sheetData>
  <mergeCells count="4">
    <mergeCell ref="A1:F1"/>
    <mergeCell ref="A2:F2"/>
    <mergeCell ref="A14:F14"/>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28"/>
    <col collapsed="false" customWidth="true" hidden="false" outlineLevel="0" max="4" min="4" style="0" width="48"/>
    <col collapsed="false" customWidth="true" hidden="false" outlineLevel="0" max="5" min="5" style="0" width="40"/>
    <col collapsed="false" customWidth="true" hidden="false" outlineLevel="0" max="7" min="6" style="0" width="14"/>
  </cols>
  <sheetData>
    <row r="1" customFormat="false" ht="25.5" hidden="false" customHeight="true" outlineLevel="0" collapsed="false">
      <c r="A1" s="1" t="s">
        <v>937</v>
      </c>
      <c r="B1" s="1"/>
      <c r="C1" s="1"/>
      <c r="D1" s="1"/>
      <c r="E1" s="1"/>
      <c r="F1" s="1"/>
      <c r="G1" s="1"/>
    </row>
    <row r="2" customFormat="false" ht="30" hidden="false" customHeight="true" outlineLevel="0" collapsed="false">
      <c r="A2" s="12" t="s">
        <v>938</v>
      </c>
      <c r="B2" s="12" t="s">
        <v>939</v>
      </c>
      <c r="C2" s="12" t="s">
        <v>940</v>
      </c>
      <c r="D2" s="12" t="s">
        <v>941</v>
      </c>
      <c r="E2" s="12" t="s">
        <v>942</v>
      </c>
      <c r="F2" s="12" t="s">
        <v>943</v>
      </c>
      <c r="G2" s="12" t="s">
        <v>145</v>
      </c>
    </row>
    <row r="3" customFormat="false" ht="33.75" hidden="false" customHeight="true" outlineLevel="0" collapsed="false">
      <c r="A3" s="40" t="s">
        <v>944</v>
      </c>
      <c r="B3" s="13" t="s">
        <v>945</v>
      </c>
      <c r="C3" s="114" t="s">
        <v>946</v>
      </c>
      <c r="D3" s="13" t="s">
        <v>947</v>
      </c>
      <c r="E3" s="13" t="s">
        <v>948</v>
      </c>
      <c r="F3" s="39"/>
      <c r="G3" s="39"/>
    </row>
    <row r="4" customFormat="false" ht="33.75" hidden="false" customHeight="true" outlineLevel="0" collapsed="false">
      <c r="A4" s="40" t="s">
        <v>949</v>
      </c>
      <c r="B4" s="13" t="s">
        <v>945</v>
      </c>
      <c r="C4" s="13" t="s">
        <v>48</v>
      </c>
      <c r="D4" s="13" t="s">
        <v>950</v>
      </c>
      <c r="E4" s="13" t="s">
        <v>951</v>
      </c>
      <c r="F4" s="39"/>
      <c r="G4" s="39"/>
    </row>
    <row r="5" customFormat="false" ht="33.75" hidden="false" customHeight="true" outlineLevel="0" collapsed="false">
      <c r="A5" s="40" t="s">
        <v>952</v>
      </c>
      <c r="B5" s="13" t="s">
        <v>945</v>
      </c>
      <c r="C5" s="114" t="s">
        <v>953</v>
      </c>
      <c r="D5" s="13" t="s">
        <v>954</v>
      </c>
      <c r="E5" s="13" t="s">
        <v>955</v>
      </c>
      <c r="F5" s="39"/>
      <c r="G5" s="39"/>
    </row>
    <row r="6" customFormat="false" ht="33.75" hidden="false" customHeight="true" outlineLevel="0" collapsed="false">
      <c r="A6" s="40" t="s">
        <v>956</v>
      </c>
      <c r="B6" s="13" t="s">
        <v>945</v>
      </c>
      <c r="C6" s="114" t="s">
        <v>957</v>
      </c>
      <c r="D6" s="13" t="s">
        <v>958</v>
      </c>
      <c r="E6" s="13" t="s">
        <v>959</v>
      </c>
      <c r="F6" s="39"/>
      <c r="G6" s="39"/>
    </row>
    <row r="7" customFormat="false" ht="33.75" hidden="false" customHeight="true" outlineLevel="0" collapsed="false">
      <c r="A7" s="40" t="s">
        <v>960</v>
      </c>
      <c r="B7" s="13" t="s">
        <v>945</v>
      </c>
      <c r="C7" s="114" t="s">
        <v>961</v>
      </c>
      <c r="D7" s="13" t="s">
        <v>962</v>
      </c>
      <c r="E7" s="13" t="s">
        <v>963</v>
      </c>
      <c r="F7" s="39"/>
      <c r="G7" s="39"/>
    </row>
    <row r="8" customFormat="false" ht="33.75" hidden="false" customHeight="true" outlineLevel="0" collapsed="false">
      <c r="A8" s="40" t="s">
        <v>964</v>
      </c>
      <c r="B8" s="13" t="s">
        <v>945</v>
      </c>
      <c r="C8" s="13" t="s">
        <v>48</v>
      </c>
      <c r="D8" s="13" t="s">
        <v>965</v>
      </c>
      <c r="E8" s="13" t="s">
        <v>966</v>
      </c>
      <c r="F8" s="39"/>
      <c r="G8" s="39"/>
    </row>
    <row r="9" customFormat="false" ht="33.75" hidden="false" customHeight="true" outlineLevel="0" collapsed="false">
      <c r="A9" s="40" t="s">
        <v>967</v>
      </c>
      <c r="B9" s="13" t="s">
        <v>945</v>
      </c>
      <c r="C9" s="114" t="s">
        <v>968</v>
      </c>
      <c r="D9" s="13" t="s">
        <v>969</v>
      </c>
      <c r="E9" s="13" t="s">
        <v>970</v>
      </c>
      <c r="F9" s="39"/>
      <c r="G9" s="39"/>
    </row>
    <row r="10" customFormat="false" ht="33.75" hidden="false" customHeight="true" outlineLevel="0" collapsed="false">
      <c r="A10" s="40" t="s">
        <v>971</v>
      </c>
      <c r="B10" s="13" t="s">
        <v>945</v>
      </c>
      <c r="C10" s="13" t="s">
        <v>48</v>
      </c>
      <c r="D10" s="13" t="s">
        <v>972</v>
      </c>
      <c r="E10" s="13" t="s">
        <v>973</v>
      </c>
      <c r="F10" s="39"/>
      <c r="G10" s="39"/>
    </row>
    <row r="11" customFormat="false" ht="33.75" hidden="false" customHeight="true" outlineLevel="0" collapsed="false">
      <c r="A11" s="40" t="s">
        <v>974</v>
      </c>
      <c r="B11" s="13" t="s">
        <v>945</v>
      </c>
      <c r="C11" s="114" t="s">
        <v>961</v>
      </c>
      <c r="D11" s="13" t="s">
        <v>975</v>
      </c>
      <c r="E11" s="13" t="s">
        <v>976</v>
      </c>
      <c r="F11" s="39"/>
      <c r="G11" s="39"/>
    </row>
    <row r="12" customFormat="false" ht="33.75" hidden="false" customHeight="true" outlineLevel="0" collapsed="false">
      <c r="A12" s="40" t="s">
        <v>977</v>
      </c>
      <c r="B12" s="13" t="s">
        <v>945</v>
      </c>
      <c r="C12" s="114" t="s">
        <v>978</v>
      </c>
      <c r="D12" s="13" t="s">
        <v>979</v>
      </c>
      <c r="E12" s="13" t="s">
        <v>980</v>
      </c>
      <c r="F12" s="39"/>
      <c r="G12" s="39"/>
    </row>
    <row r="13" customFormat="false" ht="33.75" hidden="false" customHeight="true" outlineLevel="0" collapsed="false">
      <c r="A13" s="40" t="s">
        <v>981</v>
      </c>
      <c r="B13" s="13" t="s">
        <v>945</v>
      </c>
      <c r="C13" s="13" t="s">
        <v>48</v>
      </c>
      <c r="D13" s="13" t="s">
        <v>982</v>
      </c>
      <c r="E13" s="13" t="s">
        <v>983</v>
      </c>
      <c r="F13" s="39"/>
      <c r="G13" s="39"/>
    </row>
    <row r="14" customFormat="false" ht="33.75" hidden="false" customHeight="true" outlineLevel="0" collapsed="false">
      <c r="A14" s="40" t="s">
        <v>984</v>
      </c>
      <c r="B14" s="13" t="s">
        <v>945</v>
      </c>
      <c r="C14" s="114" t="s">
        <v>985</v>
      </c>
      <c r="D14" s="13" t="s">
        <v>986</v>
      </c>
      <c r="E14" s="13" t="s">
        <v>987</v>
      </c>
      <c r="F14" s="39"/>
      <c r="G14" s="39"/>
    </row>
    <row r="16" customFormat="false" ht="42" hidden="false" customHeight="true" outlineLevel="0" collapsed="false">
      <c r="A16" s="21" t="s">
        <v>988</v>
      </c>
      <c r="B16" s="21"/>
      <c r="C16" s="21"/>
      <c r="D16" s="21"/>
      <c r="E16" s="21"/>
      <c r="F16" s="21"/>
      <c r="G16" s="21"/>
    </row>
  </sheetData>
  <mergeCells count="2">
    <mergeCell ref="A1:G1"/>
    <mergeCell ref="A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20"/>
    <col collapsed="false" customWidth="true" hidden="false" outlineLevel="0" max="11" min="4" style="0" width="11"/>
    <col collapsed="false" customWidth="true" hidden="false" outlineLevel="0" max="14" min="12" style="0" width="12"/>
  </cols>
  <sheetData>
    <row r="1" customFormat="false" ht="25.5" hidden="false" customHeight="true" outlineLevel="0" collapsed="false">
      <c r="A1" s="1" t="s">
        <v>989</v>
      </c>
      <c r="B1" s="1"/>
      <c r="C1" s="1"/>
      <c r="D1" s="1"/>
      <c r="E1" s="1"/>
      <c r="F1" s="1"/>
      <c r="G1" s="1"/>
      <c r="H1" s="1"/>
      <c r="I1" s="1"/>
      <c r="J1" s="1"/>
      <c r="K1" s="1"/>
      <c r="L1" s="1"/>
      <c r="M1" s="1"/>
      <c r="N1" s="1"/>
    </row>
    <row r="2" customFormat="false" ht="15" hidden="false" customHeight="false" outlineLevel="0" collapsed="false">
      <c r="A2" s="111" t="s">
        <v>990</v>
      </c>
    </row>
    <row r="4" customFormat="false" ht="30" hidden="false" customHeight="true" outlineLevel="0" collapsed="false">
      <c r="A4" s="12" t="s">
        <v>142</v>
      </c>
      <c r="B4" s="12" t="s">
        <v>828</v>
      </c>
      <c r="C4" s="12" t="s">
        <v>19</v>
      </c>
      <c r="D4" s="12" t="s">
        <v>991</v>
      </c>
      <c r="E4" s="12" t="s">
        <v>992</v>
      </c>
      <c r="F4" s="12" t="s">
        <v>993</v>
      </c>
      <c r="G4" s="12" t="s">
        <v>994</v>
      </c>
      <c r="H4" s="12" t="s">
        <v>995</v>
      </c>
      <c r="I4" s="12" t="s">
        <v>996</v>
      </c>
      <c r="J4" s="12" t="s">
        <v>997</v>
      </c>
      <c r="K4" s="12" t="s">
        <v>998</v>
      </c>
      <c r="L4" s="12" t="s">
        <v>999</v>
      </c>
      <c r="M4" s="12" t="s">
        <v>1000</v>
      </c>
      <c r="N4" s="12" t="s">
        <v>1001</v>
      </c>
    </row>
    <row r="5" customFormat="false" ht="15" hidden="false" customHeight="false" outlineLevel="0" collapsed="false">
      <c r="A5" s="34" t="n">
        <v>1</v>
      </c>
      <c r="B5" s="25" t="s">
        <v>618</v>
      </c>
      <c r="C5" s="115" t="s">
        <v>670</v>
      </c>
      <c r="D5" s="105" t="n">
        <v>0</v>
      </c>
      <c r="E5" s="105" t="n">
        <v>0</v>
      </c>
      <c r="F5" s="105" t="n">
        <v>0</v>
      </c>
      <c r="G5" s="105" t="n">
        <v>0</v>
      </c>
      <c r="H5" s="105" t="n">
        <v>0</v>
      </c>
      <c r="I5" s="105" t="n">
        <v>0</v>
      </c>
      <c r="J5" s="105" t="n">
        <v>0</v>
      </c>
      <c r="K5" s="105" t="n">
        <v>0</v>
      </c>
      <c r="L5" s="40" t="n">
        <f aca="false">D5+F5+H5+J5</f>
        <v>0</v>
      </c>
      <c r="M5" s="40" t="n">
        <f aca="false">E5+G5+I5+K5</f>
        <v>0</v>
      </c>
      <c r="N5" s="116" t="n">
        <f aca="false">IFERROR(M5/L5,0)</f>
        <v>0</v>
      </c>
    </row>
    <row r="6" customFormat="false" ht="15" hidden="false" customHeight="false" outlineLevel="0" collapsed="false">
      <c r="A6" s="34" t="n">
        <v>2</v>
      </c>
      <c r="B6" s="25" t="s">
        <v>635</v>
      </c>
      <c r="C6" s="117" t="s">
        <v>687</v>
      </c>
      <c r="D6" s="105" t="n">
        <v>0</v>
      </c>
      <c r="E6" s="105" t="n">
        <v>0</v>
      </c>
      <c r="F6" s="105" t="n">
        <v>0</v>
      </c>
      <c r="G6" s="105" t="n">
        <v>0</v>
      </c>
      <c r="H6" s="105" t="n">
        <v>0</v>
      </c>
      <c r="I6" s="105" t="n">
        <v>0</v>
      </c>
      <c r="J6" s="105" t="n">
        <v>0</v>
      </c>
      <c r="K6" s="105" t="n">
        <v>0</v>
      </c>
      <c r="L6" s="40" t="n">
        <f aca="false">D6+F6+H6+J6</f>
        <v>0</v>
      </c>
      <c r="M6" s="40" t="n">
        <f aca="false">E6+G6+I6+K6</f>
        <v>0</v>
      </c>
      <c r="N6" s="116" t="n">
        <f aca="false">IFERROR(M6/L6,0)</f>
        <v>0</v>
      </c>
    </row>
    <row r="7" customFormat="false" ht="15" hidden="false" customHeight="false" outlineLevel="0" collapsed="false">
      <c r="A7" s="34" t="n">
        <v>3</v>
      </c>
      <c r="B7" s="25" t="s">
        <v>636</v>
      </c>
      <c r="C7" s="117" t="s">
        <v>687</v>
      </c>
      <c r="D7" s="105" t="n">
        <v>0</v>
      </c>
      <c r="E7" s="105" t="n">
        <v>0</v>
      </c>
      <c r="F7" s="105" t="n">
        <v>0</v>
      </c>
      <c r="G7" s="105" t="n">
        <v>0</v>
      </c>
      <c r="H7" s="105" t="n">
        <v>0</v>
      </c>
      <c r="I7" s="105" t="n">
        <v>0</v>
      </c>
      <c r="J7" s="105" t="n">
        <v>0</v>
      </c>
      <c r="K7" s="105" t="n">
        <v>0</v>
      </c>
      <c r="L7" s="40" t="n">
        <f aca="false">D7+F7+H7+J7</f>
        <v>0</v>
      </c>
      <c r="M7" s="40" t="n">
        <f aca="false">E7+G7+I7+K7</f>
        <v>0</v>
      </c>
      <c r="N7" s="116" t="n">
        <f aca="false">IFERROR(M7/L7,0)</f>
        <v>0</v>
      </c>
    </row>
    <row r="8" customFormat="false" ht="15" hidden="false" customHeight="false" outlineLevel="0" collapsed="false">
      <c r="A8" s="34" t="n">
        <v>4</v>
      </c>
      <c r="B8" s="25" t="s">
        <v>637</v>
      </c>
      <c r="C8" s="117" t="s">
        <v>687</v>
      </c>
      <c r="D8" s="105" t="n">
        <v>0</v>
      </c>
      <c r="E8" s="105" t="n">
        <v>0</v>
      </c>
      <c r="F8" s="105" t="n">
        <v>0</v>
      </c>
      <c r="G8" s="105" t="n">
        <v>0</v>
      </c>
      <c r="H8" s="105" t="n">
        <v>0</v>
      </c>
      <c r="I8" s="105" t="n">
        <v>0</v>
      </c>
      <c r="J8" s="105" t="n">
        <v>0</v>
      </c>
      <c r="K8" s="105" t="n">
        <v>0</v>
      </c>
      <c r="L8" s="40" t="n">
        <f aca="false">D8+F8+H8+J8</f>
        <v>0</v>
      </c>
      <c r="M8" s="40" t="n">
        <f aca="false">E8+G8+I8+K8</f>
        <v>0</v>
      </c>
      <c r="N8" s="116" t="n">
        <f aca="false">IFERROR(M8/L8,0)</f>
        <v>0</v>
      </c>
    </row>
    <row r="9" customFormat="false" ht="15" hidden="false" customHeight="false" outlineLevel="0" collapsed="false">
      <c r="A9" s="34" t="n">
        <v>5</v>
      </c>
      <c r="B9" s="25" t="s">
        <v>613</v>
      </c>
      <c r="C9" s="118" t="s">
        <v>709</v>
      </c>
      <c r="D9" s="105" t="n">
        <v>0</v>
      </c>
      <c r="E9" s="105" t="n">
        <v>0</v>
      </c>
      <c r="F9" s="105" t="n">
        <v>0</v>
      </c>
      <c r="G9" s="105" t="n">
        <v>0</v>
      </c>
      <c r="H9" s="105" t="n">
        <v>0</v>
      </c>
      <c r="I9" s="105" t="n">
        <v>0</v>
      </c>
      <c r="J9" s="105" t="n">
        <v>0</v>
      </c>
      <c r="K9" s="105" t="n">
        <v>0</v>
      </c>
      <c r="L9" s="40" t="n">
        <f aca="false">D9+F9+H9+J9</f>
        <v>0</v>
      </c>
      <c r="M9" s="40" t="n">
        <f aca="false">E9+G9+I9+K9</f>
        <v>0</v>
      </c>
      <c r="N9" s="116" t="n">
        <f aca="false">IFERROR(M9/L9,0)</f>
        <v>0</v>
      </c>
    </row>
    <row r="10" customFormat="false" ht="15" hidden="false" customHeight="false" outlineLevel="0" collapsed="false">
      <c r="A10" s="34" t="n">
        <v>6</v>
      </c>
      <c r="B10" s="25" t="s">
        <v>614</v>
      </c>
      <c r="C10" s="118" t="s">
        <v>709</v>
      </c>
      <c r="D10" s="105" t="n">
        <v>0</v>
      </c>
      <c r="E10" s="105" t="n">
        <v>0</v>
      </c>
      <c r="F10" s="105" t="n">
        <v>0</v>
      </c>
      <c r="G10" s="105" t="n">
        <v>0</v>
      </c>
      <c r="H10" s="105" t="n">
        <v>0</v>
      </c>
      <c r="I10" s="105" t="n">
        <v>0</v>
      </c>
      <c r="J10" s="105" t="n">
        <v>0</v>
      </c>
      <c r="K10" s="105" t="n">
        <v>0</v>
      </c>
      <c r="L10" s="40" t="n">
        <f aca="false">D10+F10+H10+J10</f>
        <v>0</v>
      </c>
      <c r="M10" s="40" t="n">
        <f aca="false">E10+G10+I10+K10</f>
        <v>0</v>
      </c>
      <c r="N10" s="116" t="n">
        <f aca="false">IFERROR(M10/L10,0)</f>
        <v>0</v>
      </c>
    </row>
    <row r="11" customFormat="false" ht="15" hidden="false" customHeight="false" outlineLevel="0" collapsed="false">
      <c r="A11" s="34" t="n">
        <v>7</v>
      </c>
      <c r="B11" s="25" t="s">
        <v>629</v>
      </c>
      <c r="C11" s="119" t="s">
        <v>720</v>
      </c>
      <c r="D11" s="105" t="n">
        <v>0</v>
      </c>
      <c r="E11" s="105" t="n">
        <v>0</v>
      </c>
      <c r="F11" s="105" t="n">
        <v>0</v>
      </c>
      <c r="G11" s="105" t="n">
        <v>0</v>
      </c>
      <c r="H11" s="105" t="n">
        <v>0</v>
      </c>
      <c r="I11" s="105" t="n">
        <v>0</v>
      </c>
      <c r="J11" s="105" t="n">
        <v>0</v>
      </c>
      <c r="K11" s="105" t="n">
        <v>0</v>
      </c>
      <c r="L11" s="40" t="n">
        <f aca="false">D11+F11+H11+J11</f>
        <v>0</v>
      </c>
      <c r="M11" s="40" t="n">
        <f aca="false">E11+G11+I11+K11</f>
        <v>0</v>
      </c>
      <c r="N11" s="116" t="n">
        <f aca="false">IFERROR(M11/L11,0)</f>
        <v>0</v>
      </c>
    </row>
    <row r="12" customFormat="false" ht="15" hidden="false" customHeight="false" outlineLevel="0" collapsed="false">
      <c r="A12" s="34" t="n">
        <v>8</v>
      </c>
      <c r="B12" s="25" t="s">
        <v>630</v>
      </c>
      <c r="C12" s="119" t="s">
        <v>720</v>
      </c>
      <c r="D12" s="105" t="n">
        <v>0</v>
      </c>
      <c r="E12" s="105" t="n">
        <v>0</v>
      </c>
      <c r="F12" s="105" t="n">
        <v>0</v>
      </c>
      <c r="G12" s="105" t="n">
        <v>0</v>
      </c>
      <c r="H12" s="105" t="n">
        <v>0</v>
      </c>
      <c r="I12" s="105" t="n">
        <v>0</v>
      </c>
      <c r="J12" s="105" t="n">
        <v>0</v>
      </c>
      <c r="K12" s="105" t="n">
        <v>0</v>
      </c>
      <c r="L12" s="40" t="n">
        <f aca="false">D12+F12+H12+J12</f>
        <v>0</v>
      </c>
      <c r="M12" s="40" t="n">
        <f aca="false">E12+G12+I12+K12</f>
        <v>0</v>
      </c>
      <c r="N12" s="116" t="n">
        <f aca="false">IFERROR(M12/L12,0)</f>
        <v>0</v>
      </c>
    </row>
    <row r="13" customFormat="false" ht="15" hidden="false" customHeight="false" outlineLevel="0" collapsed="false">
      <c r="A13" s="34" t="n">
        <v>9</v>
      </c>
      <c r="B13" s="25" t="s">
        <v>631</v>
      </c>
      <c r="C13" s="119" t="s">
        <v>720</v>
      </c>
      <c r="D13" s="105" t="n">
        <v>0</v>
      </c>
      <c r="E13" s="105" t="n">
        <v>0</v>
      </c>
      <c r="F13" s="105" t="n">
        <v>0</v>
      </c>
      <c r="G13" s="105" t="n">
        <v>0</v>
      </c>
      <c r="H13" s="105" t="n">
        <v>0</v>
      </c>
      <c r="I13" s="105" t="n">
        <v>0</v>
      </c>
      <c r="J13" s="105" t="n">
        <v>0</v>
      </c>
      <c r="K13" s="105" t="n">
        <v>0</v>
      </c>
      <c r="L13" s="40" t="n">
        <f aca="false">D13+F13+H13+J13</f>
        <v>0</v>
      </c>
      <c r="M13" s="40" t="n">
        <f aca="false">E13+G13+I13+K13</f>
        <v>0</v>
      </c>
      <c r="N13" s="116" t="n">
        <f aca="false">IFERROR(M13/L13,0)</f>
        <v>0</v>
      </c>
    </row>
    <row r="14" customFormat="false" ht="15" hidden="false" customHeight="false" outlineLevel="0" collapsed="false">
      <c r="A14" s="105"/>
      <c r="B14" s="22"/>
      <c r="C14" s="22"/>
      <c r="D14" s="105"/>
      <c r="E14" s="105"/>
      <c r="F14" s="105"/>
      <c r="G14" s="105"/>
      <c r="H14" s="105"/>
      <c r="I14" s="105"/>
      <c r="J14" s="105"/>
      <c r="K14" s="105"/>
      <c r="L14" s="31" t="n">
        <f aca="false">D14+F14+H14+J14</f>
        <v>0</v>
      </c>
      <c r="M14" s="31" t="n">
        <f aca="false">E14+G14+I14+K14</f>
        <v>0</v>
      </c>
      <c r="N14" s="120" t="n">
        <f aca="false">IFERROR(M14/L14,0)</f>
        <v>0</v>
      </c>
    </row>
    <row r="15" customFormat="false" ht="15" hidden="false" customHeight="false" outlineLevel="0" collapsed="false">
      <c r="A15" s="105"/>
      <c r="B15" s="22"/>
      <c r="C15" s="22"/>
      <c r="D15" s="105"/>
      <c r="E15" s="105"/>
      <c r="F15" s="105"/>
      <c r="G15" s="105"/>
      <c r="H15" s="105"/>
      <c r="I15" s="105"/>
      <c r="J15" s="105"/>
      <c r="K15" s="105"/>
      <c r="L15" s="31" t="n">
        <f aca="false">D15+F15+H15+J15</f>
        <v>0</v>
      </c>
      <c r="M15" s="31" t="n">
        <f aca="false">E15+G15+I15+K15</f>
        <v>0</v>
      </c>
      <c r="N15" s="120" t="n">
        <f aca="false">IFERROR(M15/L15,0)</f>
        <v>0</v>
      </c>
    </row>
    <row r="16" customFormat="false" ht="15" hidden="false" customHeight="false" outlineLevel="0" collapsed="false">
      <c r="A16" s="105"/>
      <c r="B16" s="22"/>
      <c r="C16" s="22"/>
      <c r="D16" s="105"/>
      <c r="E16" s="105"/>
      <c r="F16" s="105"/>
      <c r="G16" s="105"/>
      <c r="H16" s="105"/>
      <c r="I16" s="105"/>
      <c r="J16" s="105"/>
      <c r="K16" s="105"/>
      <c r="L16" s="31" t="n">
        <f aca="false">D16+F16+H16+J16</f>
        <v>0</v>
      </c>
      <c r="M16" s="31" t="n">
        <f aca="false">E16+G16+I16+K16</f>
        <v>0</v>
      </c>
      <c r="N16" s="120" t="n">
        <f aca="false">IFERROR(M16/L16,0)</f>
        <v>0</v>
      </c>
    </row>
    <row r="17" customFormat="false" ht="15" hidden="false" customHeight="false" outlineLevel="0" collapsed="false">
      <c r="A17" s="105"/>
      <c r="B17" s="22"/>
      <c r="C17" s="22"/>
      <c r="D17" s="105"/>
      <c r="E17" s="105"/>
      <c r="F17" s="105"/>
      <c r="G17" s="105"/>
      <c r="H17" s="105"/>
      <c r="I17" s="105"/>
      <c r="J17" s="105"/>
      <c r="K17" s="105"/>
      <c r="L17" s="31" t="n">
        <f aca="false">D17+F17+H17+J17</f>
        <v>0</v>
      </c>
      <c r="M17" s="31" t="n">
        <f aca="false">E17+G17+I17+K17</f>
        <v>0</v>
      </c>
      <c r="N17" s="120" t="n">
        <f aca="false">IFERROR(M17/L17,0)</f>
        <v>0</v>
      </c>
    </row>
    <row r="18" customFormat="false" ht="15" hidden="false" customHeight="false" outlineLevel="0" collapsed="false">
      <c r="A18" s="105"/>
      <c r="B18" s="22"/>
      <c r="C18" s="22"/>
      <c r="D18" s="105"/>
      <c r="E18" s="105"/>
      <c r="F18" s="105"/>
      <c r="G18" s="105"/>
      <c r="H18" s="105"/>
      <c r="I18" s="105"/>
      <c r="J18" s="105"/>
      <c r="K18" s="105"/>
      <c r="L18" s="31" t="n">
        <f aca="false">D18+F18+H18+J18</f>
        <v>0</v>
      </c>
      <c r="M18" s="31" t="n">
        <f aca="false">E18+G18+I18+K18</f>
        <v>0</v>
      </c>
      <c r="N18" s="120" t="n">
        <f aca="false">IFERROR(M18/L18,0)</f>
        <v>0</v>
      </c>
    </row>
    <row r="19" customFormat="false" ht="15" hidden="false" customHeight="false" outlineLevel="0" collapsed="false">
      <c r="A19" s="105"/>
      <c r="B19" s="22"/>
      <c r="C19" s="22"/>
      <c r="D19" s="105"/>
      <c r="E19" s="105"/>
      <c r="F19" s="105"/>
      <c r="G19" s="105"/>
      <c r="H19" s="105"/>
      <c r="I19" s="105"/>
      <c r="J19" s="105"/>
      <c r="K19" s="105"/>
      <c r="L19" s="31" t="n">
        <f aca="false">D19+F19+H19+J19</f>
        <v>0</v>
      </c>
      <c r="M19" s="31" t="n">
        <f aca="false">E19+G19+I19+K19</f>
        <v>0</v>
      </c>
      <c r="N19" s="120" t="n">
        <f aca="false">IFERROR(M19/L19,0)</f>
        <v>0</v>
      </c>
    </row>
    <row r="20" customFormat="false" ht="15" hidden="false" customHeight="false" outlineLevel="0" collapsed="false">
      <c r="A20" s="31"/>
      <c r="B20" s="27" t="s">
        <v>1002</v>
      </c>
      <c r="C20" s="31"/>
      <c r="D20" s="105" t="n">
        <v>0</v>
      </c>
      <c r="E20" s="105" t="n">
        <v>0</v>
      </c>
      <c r="F20" s="105" t="n">
        <v>0</v>
      </c>
      <c r="G20" s="105" t="n">
        <v>0</v>
      </c>
      <c r="H20" s="105" t="n">
        <v>0</v>
      </c>
      <c r="I20" s="105" t="n">
        <v>0</v>
      </c>
      <c r="J20" s="105" t="n">
        <v>0</v>
      </c>
      <c r="K20" s="105" t="n">
        <v>0</v>
      </c>
      <c r="L20" s="27" t="n">
        <f aca="false">D20+F20+H20+J20</f>
        <v>0</v>
      </c>
      <c r="M20" s="27" t="n">
        <f aca="false">E20+G20+I20+K20</f>
        <v>0</v>
      </c>
      <c r="N20" s="120" t="n">
        <f aca="false">IFERROR(M20/L20,0)</f>
        <v>0</v>
      </c>
    </row>
    <row r="21" customFormat="false" ht="15" hidden="false" customHeight="false" outlineLevel="0" collapsed="false">
      <c r="B21" s="121" t="s">
        <v>1003</v>
      </c>
      <c r="C21" s="122"/>
      <c r="D21" s="37" t="n">
        <f aca="false">SUM(D5:D20)</f>
        <v>0</v>
      </c>
      <c r="E21" s="37" t="n">
        <f aca="false">SUM(E5:E20)</f>
        <v>0</v>
      </c>
      <c r="F21" s="37" t="n">
        <f aca="false">SUM(F5:F20)</f>
        <v>0</v>
      </c>
      <c r="G21" s="37" t="n">
        <f aca="false">SUM(G5:G20)</f>
        <v>0</v>
      </c>
      <c r="H21" s="37" t="n">
        <f aca="false">SUM(H5:H20)</f>
        <v>0</v>
      </c>
      <c r="I21" s="37" t="n">
        <f aca="false">SUM(I5:I20)</f>
        <v>0</v>
      </c>
      <c r="J21" s="37" t="n">
        <f aca="false">SUM(J5:J20)</f>
        <v>0</v>
      </c>
      <c r="K21" s="37" t="n">
        <f aca="false">SUM(K5:K20)</f>
        <v>0</v>
      </c>
      <c r="L21" s="37" t="n">
        <f aca="false">SUM(L5:L20)</f>
        <v>0</v>
      </c>
      <c r="M21" s="37" t="n">
        <f aca="false">SUM(M5:M20)</f>
        <v>0</v>
      </c>
      <c r="N21" s="38" t="n">
        <f aca="false">IFERROR(M21/L21,0)</f>
        <v>0</v>
      </c>
    </row>
    <row r="23" customFormat="false" ht="49.5" hidden="false" customHeight="true" outlineLevel="0" collapsed="false">
      <c r="A23" s="21" t="s">
        <v>1004</v>
      </c>
      <c r="B23" s="21"/>
      <c r="C23" s="21"/>
      <c r="D23" s="21"/>
      <c r="E23" s="21"/>
      <c r="F23" s="21"/>
      <c r="G23" s="21"/>
      <c r="H23" s="21"/>
      <c r="I23" s="21"/>
      <c r="J23" s="21"/>
      <c r="K23" s="21"/>
      <c r="L23" s="21"/>
      <c r="M23" s="21"/>
      <c r="N23" s="21"/>
    </row>
  </sheetData>
  <mergeCells count="2">
    <mergeCell ref="A1:N1"/>
    <mergeCell ref="A23:N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4" min="3" style="0" width="20"/>
    <col collapsed="false" customWidth="true" hidden="false" outlineLevel="0" max="5" min="5" style="0" width="22"/>
    <col collapsed="false" customWidth="true" hidden="false" outlineLevel="0" max="6" min="6" style="0" width="16"/>
    <col collapsed="false" customWidth="true" hidden="false" outlineLevel="0" max="7" min="7" style="0" width="42"/>
    <col collapsed="false" customWidth="true" hidden="false" outlineLevel="0" max="8" min="8" style="0" width="40"/>
    <col collapsed="false" customWidth="true" hidden="false" outlineLevel="0" max="9" min="9" style="0" width="18"/>
  </cols>
  <sheetData>
    <row r="1" customFormat="false" ht="25.5" hidden="false" customHeight="true" outlineLevel="0" collapsed="false">
      <c r="A1" s="1" t="s">
        <v>1005</v>
      </c>
      <c r="B1" s="1"/>
      <c r="C1" s="1"/>
      <c r="D1" s="1"/>
      <c r="E1" s="1"/>
      <c r="F1" s="1"/>
      <c r="G1" s="1"/>
      <c r="H1" s="1"/>
      <c r="I1" s="1"/>
    </row>
    <row r="2" customFormat="false" ht="61.5" hidden="false" customHeight="true" outlineLevel="0" collapsed="false">
      <c r="A2" s="11" t="s">
        <v>1006</v>
      </c>
      <c r="B2" s="11"/>
      <c r="C2" s="11"/>
      <c r="D2" s="11"/>
      <c r="E2" s="11"/>
      <c r="F2" s="11"/>
      <c r="G2" s="11"/>
      <c r="H2" s="11"/>
      <c r="I2" s="11"/>
    </row>
    <row r="3" customFormat="false" ht="30" hidden="false" customHeight="true" outlineLevel="0" collapsed="false">
      <c r="A3" s="12" t="s">
        <v>142</v>
      </c>
      <c r="B3" s="12" t="s">
        <v>1007</v>
      </c>
      <c r="C3" s="12" t="s">
        <v>1008</v>
      </c>
      <c r="D3" s="12" t="s">
        <v>1009</v>
      </c>
      <c r="E3" s="12" t="s">
        <v>1010</v>
      </c>
      <c r="F3" s="12" t="s">
        <v>1011</v>
      </c>
      <c r="G3" s="12" t="s">
        <v>1012</v>
      </c>
      <c r="H3" s="12" t="s">
        <v>749</v>
      </c>
      <c r="I3" s="12" t="s">
        <v>8</v>
      </c>
    </row>
    <row r="4" customFormat="false" ht="23.85" hidden="false" customHeight="false" outlineLevel="0" collapsed="false">
      <c r="A4" s="13" t="n">
        <v>1</v>
      </c>
      <c r="B4" s="20" t="s">
        <v>1013</v>
      </c>
      <c r="C4" s="13" t="s">
        <v>1014</v>
      </c>
      <c r="D4" s="13" t="s">
        <v>1015</v>
      </c>
      <c r="E4" s="39"/>
      <c r="F4" s="105" t="s">
        <v>487</v>
      </c>
      <c r="G4" s="13" t="s">
        <v>1016</v>
      </c>
      <c r="H4" s="13" t="s">
        <v>1017</v>
      </c>
      <c r="I4" s="39" t="s">
        <v>297</v>
      </c>
    </row>
    <row r="5" customFormat="false" ht="15" hidden="false" customHeight="false" outlineLevel="0" collapsed="false">
      <c r="A5" s="13" t="n">
        <v>2</v>
      </c>
      <c r="B5" s="20" t="s">
        <v>1018</v>
      </c>
      <c r="C5" s="13" t="s">
        <v>1019</v>
      </c>
      <c r="D5" s="13" t="s">
        <v>1015</v>
      </c>
      <c r="E5" s="39"/>
      <c r="F5" s="105" t="s">
        <v>487</v>
      </c>
      <c r="G5" s="13" t="s">
        <v>1020</v>
      </c>
      <c r="H5" s="13" t="s">
        <v>1021</v>
      </c>
      <c r="I5" s="39" t="s">
        <v>297</v>
      </c>
    </row>
    <row r="6" customFormat="false" ht="15" hidden="false" customHeight="false" outlineLevel="0" collapsed="false">
      <c r="A6" s="13" t="n">
        <v>3</v>
      </c>
      <c r="B6" s="20" t="s">
        <v>1022</v>
      </c>
      <c r="C6" s="13" t="s">
        <v>1023</v>
      </c>
      <c r="D6" s="13" t="s">
        <v>1015</v>
      </c>
      <c r="E6" s="39"/>
      <c r="F6" s="105" t="s">
        <v>487</v>
      </c>
      <c r="G6" s="13" t="s">
        <v>1024</v>
      </c>
      <c r="H6" s="13" t="s">
        <v>1025</v>
      </c>
      <c r="I6" s="39" t="s">
        <v>1026</v>
      </c>
    </row>
    <row r="7" customFormat="false" ht="15" hidden="false" customHeight="false" outlineLevel="0" collapsed="false">
      <c r="A7" s="13" t="n">
        <v>4</v>
      </c>
      <c r="B7" s="20" t="s">
        <v>1027</v>
      </c>
      <c r="C7" s="13" t="s">
        <v>1028</v>
      </c>
      <c r="D7" s="13" t="s">
        <v>1015</v>
      </c>
      <c r="E7" s="39"/>
      <c r="F7" s="105" t="s">
        <v>487</v>
      </c>
      <c r="G7" s="13" t="s">
        <v>1029</v>
      </c>
      <c r="H7" s="13" t="s">
        <v>1030</v>
      </c>
      <c r="I7" s="39" t="s">
        <v>297</v>
      </c>
    </row>
    <row r="8" customFormat="false" ht="15" hidden="false" customHeight="false" outlineLevel="0" collapsed="false">
      <c r="A8" s="13" t="n">
        <v>5</v>
      </c>
      <c r="B8" s="20" t="s">
        <v>1031</v>
      </c>
      <c r="C8" s="13" t="s">
        <v>1032</v>
      </c>
      <c r="D8" s="13" t="s">
        <v>1015</v>
      </c>
      <c r="E8" s="39"/>
      <c r="F8" s="105" t="s">
        <v>487</v>
      </c>
      <c r="G8" s="13" t="s">
        <v>1033</v>
      </c>
      <c r="H8" s="13" t="s">
        <v>1034</v>
      </c>
      <c r="I8" s="39" t="s">
        <v>297</v>
      </c>
    </row>
    <row r="9" customFormat="false" ht="23.85" hidden="false" customHeight="false" outlineLevel="0" collapsed="false">
      <c r="A9" s="13" t="n">
        <v>6</v>
      </c>
      <c r="B9" s="20" t="s">
        <v>1035</v>
      </c>
      <c r="C9" s="13" t="s">
        <v>1036</v>
      </c>
      <c r="D9" s="13" t="s">
        <v>1037</v>
      </c>
      <c r="E9" s="39"/>
      <c r="F9" s="105" t="s">
        <v>1038</v>
      </c>
      <c r="G9" s="13" t="s">
        <v>1039</v>
      </c>
      <c r="H9" s="13" t="s">
        <v>1040</v>
      </c>
      <c r="I9" s="39" t="s">
        <v>202</v>
      </c>
    </row>
    <row r="10" customFormat="false" ht="15" hidden="false" customHeight="false" outlineLevel="0" collapsed="false">
      <c r="A10" s="13" t="n">
        <v>7</v>
      </c>
      <c r="B10" s="20" t="s">
        <v>1041</v>
      </c>
      <c r="C10" s="13" t="s">
        <v>1042</v>
      </c>
      <c r="D10" s="13" t="s">
        <v>1037</v>
      </c>
      <c r="E10" s="39"/>
      <c r="F10" s="105" t="s">
        <v>1038</v>
      </c>
      <c r="G10" s="13" t="s">
        <v>1043</v>
      </c>
      <c r="H10" s="13" t="s">
        <v>1044</v>
      </c>
      <c r="I10" s="39" t="s">
        <v>202</v>
      </c>
    </row>
    <row r="11" customFormat="false" ht="23.85" hidden="false" customHeight="false" outlineLevel="0" collapsed="false">
      <c r="A11" s="13" t="n">
        <v>8</v>
      </c>
      <c r="B11" s="20" t="s">
        <v>1045</v>
      </c>
      <c r="C11" s="13" t="s">
        <v>1046</v>
      </c>
      <c r="D11" s="13" t="s">
        <v>1037</v>
      </c>
      <c r="E11" s="39"/>
      <c r="F11" s="105" t="s">
        <v>487</v>
      </c>
      <c r="G11" s="13" t="s">
        <v>1047</v>
      </c>
      <c r="H11" s="13" t="s">
        <v>1048</v>
      </c>
      <c r="I11" s="39" t="s">
        <v>1049</v>
      </c>
    </row>
    <row r="12" customFormat="false" ht="15" hidden="false" customHeight="false" outlineLevel="0" collapsed="false">
      <c r="A12" s="13" t="n">
        <v>9</v>
      </c>
      <c r="B12" s="20" t="s">
        <v>1050</v>
      </c>
      <c r="C12" s="13" t="s">
        <v>1051</v>
      </c>
      <c r="D12" s="13" t="s">
        <v>1037</v>
      </c>
      <c r="E12" s="39"/>
      <c r="F12" s="105" t="s">
        <v>487</v>
      </c>
      <c r="G12" s="13" t="s">
        <v>1052</v>
      </c>
      <c r="H12" s="13" t="s">
        <v>1053</v>
      </c>
      <c r="I12" s="39" t="s">
        <v>202</v>
      </c>
    </row>
    <row r="13" customFormat="false" ht="15" hidden="false" customHeight="false" outlineLevel="0" collapsed="false">
      <c r="A13" s="13" t="n">
        <v>10</v>
      </c>
      <c r="B13" s="20" t="s">
        <v>1054</v>
      </c>
      <c r="C13" s="13" t="s">
        <v>1055</v>
      </c>
      <c r="D13" s="13" t="s">
        <v>1015</v>
      </c>
      <c r="E13" s="39"/>
      <c r="F13" s="105" t="s">
        <v>487</v>
      </c>
      <c r="G13" s="13" t="s">
        <v>1056</v>
      </c>
      <c r="H13" s="13" t="s">
        <v>1057</v>
      </c>
      <c r="I13" s="39" t="s">
        <v>1049</v>
      </c>
    </row>
    <row r="14" customFormat="false" ht="15" hidden="false" customHeight="false" outlineLevel="0" collapsed="false">
      <c r="A14" s="13" t="n">
        <v>11</v>
      </c>
      <c r="B14" s="20"/>
      <c r="C14" s="13"/>
      <c r="D14" s="13"/>
      <c r="E14" s="39"/>
      <c r="F14" s="105"/>
      <c r="G14" s="13"/>
      <c r="H14" s="13"/>
      <c r="I14" s="39"/>
    </row>
    <row r="15" customFormat="false" ht="15" hidden="false" customHeight="false" outlineLevel="0" collapsed="false">
      <c r="A15" s="13" t="n">
        <v>12</v>
      </c>
      <c r="B15" s="20"/>
      <c r="C15" s="13"/>
      <c r="D15" s="13"/>
      <c r="E15" s="39"/>
      <c r="F15" s="105"/>
      <c r="G15" s="13"/>
      <c r="H15" s="13"/>
      <c r="I15" s="39"/>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4" min="3" style="0" width="22"/>
    <col collapsed="false" customWidth="true" hidden="false" outlineLevel="0" max="6" min="5" style="0" width="30"/>
  </cols>
  <sheetData>
    <row r="1" customFormat="false" ht="25.5" hidden="false" customHeight="true" outlineLevel="0" collapsed="false">
      <c r="A1" s="1" t="s">
        <v>1058</v>
      </c>
      <c r="B1" s="1"/>
      <c r="C1" s="1"/>
      <c r="D1" s="1"/>
      <c r="E1" s="1"/>
      <c r="F1" s="1"/>
    </row>
    <row r="2" customFormat="false" ht="15" hidden="false" customHeight="false" outlineLevel="0" collapsed="false">
      <c r="A2" s="111" t="s">
        <v>1059</v>
      </c>
    </row>
    <row r="4" customFormat="false" ht="15" hidden="false" customHeight="false" outlineLevel="0" collapsed="false">
      <c r="B4" s="90" t="s">
        <v>828</v>
      </c>
      <c r="C4" s="22"/>
      <c r="D4" s="22"/>
    </row>
    <row r="5" customFormat="false" ht="15" hidden="false" customHeight="false" outlineLevel="0" collapsed="false">
      <c r="B5" s="90" t="s">
        <v>19</v>
      </c>
      <c r="C5" s="22"/>
      <c r="D5" s="22"/>
    </row>
    <row r="6" customFormat="false" ht="15" hidden="false" customHeight="false" outlineLevel="0" collapsed="false">
      <c r="B6" s="90" t="s">
        <v>1060</v>
      </c>
      <c r="C6" s="22"/>
      <c r="D6" s="22"/>
    </row>
    <row r="7" customFormat="false" ht="15" hidden="false" customHeight="false" outlineLevel="0" collapsed="false">
      <c r="B7" s="90" t="s">
        <v>1061</v>
      </c>
      <c r="C7" s="22"/>
      <c r="D7" s="22"/>
    </row>
    <row r="8" customFormat="false" ht="15" hidden="false" customHeight="false" outlineLevel="0" collapsed="false">
      <c r="B8" s="90" t="s">
        <v>1062</v>
      </c>
      <c r="C8" s="22"/>
      <c r="D8" s="22"/>
    </row>
    <row r="10" customFormat="false" ht="19.5" hidden="false" customHeight="true" outlineLevel="0" collapsed="false">
      <c r="A10" s="28" t="s">
        <v>1063</v>
      </c>
      <c r="B10" s="28"/>
      <c r="C10" s="28"/>
      <c r="D10" s="28"/>
      <c r="E10" s="28"/>
      <c r="F10" s="28"/>
    </row>
    <row r="11" customFormat="false" ht="30" hidden="false" customHeight="true" outlineLevel="0" collapsed="false">
      <c r="A11" s="12" t="s">
        <v>142</v>
      </c>
      <c r="B11" s="12" t="s">
        <v>1064</v>
      </c>
      <c r="C11" s="12" t="s">
        <v>1065</v>
      </c>
      <c r="D11" s="12" t="s">
        <v>1066</v>
      </c>
      <c r="E11" s="12" t="s">
        <v>1067</v>
      </c>
      <c r="F11" s="12"/>
    </row>
    <row r="12" customFormat="false" ht="15" hidden="false" customHeight="false" outlineLevel="0" collapsed="false">
      <c r="A12" s="13" t="n">
        <v>1</v>
      </c>
      <c r="B12" s="13" t="s">
        <v>1068</v>
      </c>
      <c r="C12" s="39"/>
      <c r="D12" s="51" t="s">
        <v>1069</v>
      </c>
      <c r="E12" s="39"/>
      <c r="F12" s="13"/>
    </row>
    <row r="13" customFormat="false" ht="15" hidden="false" customHeight="false" outlineLevel="0" collapsed="false">
      <c r="A13" s="13" t="n">
        <v>2</v>
      </c>
      <c r="B13" s="13" t="s">
        <v>1070</v>
      </c>
      <c r="C13" s="39"/>
      <c r="D13" s="51" t="s">
        <v>1071</v>
      </c>
      <c r="E13" s="39"/>
      <c r="F13" s="13"/>
    </row>
    <row r="14" customFormat="false" ht="15" hidden="false" customHeight="false" outlineLevel="0" collapsed="false">
      <c r="A14" s="13" t="n">
        <v>3</v>
      </c>
      <c r="B14" s="13" t="s">
        <v>1072</v>
      </c>
      <c r="C14" s="39"/>
      <c r="D14" s="51" t="s">
        <v>1073</v>
      </c>
      <c r="E14" s="39"/>
      <c r="F14" s="13"/>
    </row>
    <row r="15" customFormat="false" ht="15" hidden="false" customHeight="false" outlineLevel="0" collapsed="false">
      <c r="A15" s="13" t="n">
        <v>4</v>
      </c>
      <c r="B15" s="13" t="s">
        <v>1074</v>
      </c>
      <c r="C15" s="39"/>
      <c r="D15" s="51" t="s">
        <v>1071</v>
      </c>
      <c r="E15" s="39"/>
      <c r="F15" s="13"/>
    </row>
    <row r="16" customFormat="false" ht="15" hidden="false" customHeight="false" outlineLevel="0" collapsed="false">
      <c r="A16" s="13" t="n">
        <v>5</v>
      </c>
      <c r="B16" s="13" t="s">
        <v>1075</v>
      </c>
      <c r="C16" s="39"/>
      <c r="D16" s="51" t="s">
        <v>1071</v>
      </c>
      <c r="E16" s="39"/>
      <c r="F16" s="13"/>
    </row>
    <row r="17" customFormat="false" ht="15" hidden="false" customHeight="false" outlineLevel="0" collapsed="false">
      <c r="A17" s="13" t="n">
        <v>6</v>
      </c>
      <c r="B17" s="13" t="s">
        <v>1076</v>
      </c>
      <c r="C17" s="39"/>
      <c r="D17" s="51" t="s">
        <v>1071</v>
      </c>
      <c r="E17" s="39"/>
      <c r="F17" s="13"/>
    </row>
    <row r="18" customFormat="false" ht="15" hidden="false" customHeight="false" outlineLevel="0" collapsed="false">
      <c r="A18" s="13" t="n">
        <v>7</v>
      </c>
      <c r="B18" s="13" t="s">
        <v>1077</v>
      </c>
      <c r="C18" s="39"/>
      <c r="D18" s="51" t="s">
        <v>1071</v>
      </c>
      <c r="E18" s="39"/>
      <c r="F18" s="13"/>
    </row>
    <row r="19" customFormat="false" ht="15" hidden="false" customHeight="false" outlineLevel="0" collapsed="false">
      <c r="A19" s="13" t="n">
        <v>8</v>
      </c>
      <c r="B19" s="13" t="s">
        <v>1078</v>
      </c>
      <c r="C19" s="39"/>
      <c r="D19" s="51" t="s">
        <v>1073</v>
      </c>
      <c r="E19" s="39"/>
      <c r="F19" s="13"/>
    </row>
    <row r="20" customFormat="false" ht="15" hidden="false" customHeight="false" outlineLevel="0" collapsed="false">
      <c r="A20" s="13" t="n">
        <v>9</v>
      </c>
      <c r="B20" s="13" t="s">
        <v>1079</v>
      </c>
      <c r="C20" s="39"/>
      <c r="D20" s="51" t="s">
        <v>1073</v>
      </c>
      <c r="E20" s="39"/>
      <c r="F20" s="13"/>
    </row>
    <row r="21" customFormat="false" ht="15" hidden="false" customHeight="false" outlineLevel="0" collapsed="false">
      <c r="A21" s="13" t="n">
        <v>10</v>
      </c>
      <c r="B21" s="13" t="s">
        <v>1080</v>
      </c>
      <c r="C21" s="39"/>
      <c r="D21" s="51" t="s">
        <v>1073</v>
      </c>
      <c r="E21" s="39"/>
      <c r="F21" s="13"/>
    </row>
    <row r="22" customFormat="false" ht="15" hidden="false" customHeight="false" outlineLevel="0" collapsed="false">
      <c r="A22" s="13" t="n">
        <v>11</v>
      </c>
      <c r="B22" s="13" t="s">
        <v>1081</v>
      </c>
      <c r="C22" s="39"/>
      <c r="D22" s="51" t="s">
        <v>1073</v>
      </c>
      <c r="E22" s="39"/>
      <c r="F22" s="13"/>
    </row>
    <row r="23" customFormat="false" ht="23.85" hidden="false" customHeight="false" outlineLevel="0" collapsed="false">
      <c r="A23" s="13" t="n">
        <v>12</v>
      </c>
      <c r="B23" s="13" t="s">
        <v>1082</v>
      </c>
      <c r="C23" s="39"/>
      <c r="D23" s="51" t="s">
        <v>1073</v>
      </c>
      <c r="E23" s="39"/>
      <c r="F23" s="13"/>
    </row>
    <row r="25" customFormat="false" ht="19.5" hidden="false" customHeight="true" outlineLevel="0" collapsed="false">
      <c r="A25" s="28" t="s">
        <v>1083</v>
      </c>
      <c r="B25" s="28"/>
      <c r="C25" s="28"/>
      <c r="D25" s="28"/>
      <c r="E25" s="28"/>
      <c r="F25" s="28"/>
    </row>
    <row r="26" customFormat="false" ht="30" hidden="false" customHeight="true" outlineLevel="0" collapsed="false">
      <c r="A26" s="12" t="s">
        <v>142</v>
      </c>
      <c r="B26" s="12" t="s">
        <v>911</v>
      </c>
      <c r="C26" s="12" t="s">
        <v>1084</v>
      </c>
      <c r="D26" s="12" t="s">
        <v>146</v>
      </c>
      <c r="E26" s="12"/>
      <c r="F26" s="12"/>
    </row>
    <row r="27" customFormat="false" ht="23.85" hidden="false" customHeight="false" outlineLevel="0" collapsed="false">
      <c r="A27" s="13" t="n">
        <v>1</v>
      </c>
      <c r="B27" s="13" t="s">
        <v>1085</v>
      </c>
      <c r="C27" s="39"/>
      <c r="D27" s="39"/>
      <c r="E27" s="13"/>
      <c r="F27" s="13"/>
    </row>
    <row r="28" customFormat="false" ht="15" hidden="false" customHeight="false" outlineLevel="0" collapsed="false">
      <c r="A28" s="13" t="n">
        <v>2</v>
      </c>
      <c r="B28" s="13" t="s">
        <v>1086</v>
      </c>
      <c r="C28" s="39"/>
      <c r="D28" s="39"/>
      <c r="E28" s="13"/>
      <c r="F28" s="13"/>
    </row>
    <row r="29" customFormat="false" ht="15" hidden="false" customHeight="false" outlineLevel="0" collapsed="false">
      <c r="A29" s="13" t="n">
        <v>3</v>
      </c>
      <c r="B29" s="13" t="s">
        <v>1087</v>
      </c>
      <c r="C29" s="39"/>
      <c r="D29" s="39"/>
      <c r="E29" s="13"/>
      <c r="F29" s="13"/>
    </row>
    <row r="30" customFormat="false" ht="15" hidden="false" customHeight="false" outlineLevel="0" collapsed="false">
      <c r="A30" s="13" t="n">
        <v>4</v>
      </c>
      <c r="B30" s="13" t="s">
        <v>1088</v>
      </c>
      <c r="C30" s="39"/>
      <c r="D30" s="39"/>
      <c r="E30" s="13"/>
      <c r="F30" s="13"/>
    </row>
    <row r="31" customFormat="false" ht="15" hidden="false" customHeight="false" outlineLevel="0" collapsed="false">
      <c r="A31" s="13" t="n">
        <v>5</v>
      </c>
      <c r="B31" s="13" t="s">
        <v>1089</v>
      </c>
      <c r="C31" s="39"/>
      <c r="D31" s="39"/>
      <c r="E31" s="13"/>
      <c r="F31" s="13"/>
    </row>
    <row r="32" customFormat="false" ht="15" hidden="false" customHeight="false" outlineLevel="0" collapsed="false">
      <c r="A32" s="13" t="n">
        <v>6</v>
      </c>
      <c r="B32" s="13" t="s">
        <v>1090</v>
      </c>
      <c r="C32" s="39"/>
      <c r="D32" s="39"/>
      <c r="E32" s="13"/>
      <c r="F32" s="13"/>
    </row>
    <row r="33" customFormat="false" ht="15" hidden="false" customHeight="false" outlineLevel="0" collapsed="false">
      <c r="A33" s="13" t="n">
        <v>7</v>
      </c>
      <c r="B33" s="13" t="s">
        <v>1091</v>
      </c>
      <c r="C33" s="39"/>
      <c r="D33" s="39"/>
      <c r="E33" s="13"/>
      <c r="F33" s="13"/>
    </row>
    <row r="34" customFormat="false" ht="15" hidden="false" customHeight="false" outlineLevel="0" collapsed="false">
      <c r="A34" s="13" t="n">
        <v>8</v>
      </c>
      <c r="B34" s="13" t="s">
        <v>1092</v>
      </c>
      <c r="C34" s="39"/>
      <c r="D34" s="39"/>
      <c r="E34" s="13"/>
      <c r="F34" s="13"/>
    </row>
    <row r="35" customFormat="false" ht="15" hidden="false" customHeight="false" outlineLevel="0" collapsed="false">
      <c r="A35" s="13" t="n">
        <v>9</v>
      </c>
      <c r="B35" s="13" t="s">
        <v>1093</v>
      </c>
      <c r="C35" s="39"/>
      <c r="D35" s="39"/>
      <c r="E35" s="13"/>
      <c r="F35" s="13"/>
    </row>
    <row r="36" customFormat="false" ht="23.85" hidden="false" customHeight="false" outlineLevel="0" collapsed="false">
      <c r="A36" s="13" t="n">
        <v>10</v>
      </c>
      <c r="B36" s="13" t="s">
        <v>1094</v>
      </c>
      <c r="C36" s="39"/>
      <c r="D36" s="39"/>
      <c r="E36" s="13"/>
      <c r="F36" s="13"/>
    </row>
  </sheetData>
  <mergeCells count="8">
    <mergeCell ref="A1:F1"/>
    <mergeCell ref="C4:D4"/>
    <mergeCell ref="C5:D5"/>
    <mergeCell ref="C6:D6"/>
    <mergeCell ref="C7:D7"/>
    <mergeCell ref="C8:D8"/>
    <mergeCell ref="A10:F10"/>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8"/>
    <col collapsed="false" customWidth="true" hidden="false" outlineLevel="0" max="5" min="4" style="0" width="20"/>
  </cols>
  <sheetData>
    <row r="1" customFormat="false" ht="25.5" hidden="false" customHeight="true" outlineLevel="0" collapsed="false">
      <c r="A1" s="1" t="s">
        <v>1095</v>
      </c>
      <c r="B1" s="1"/>
      <c r="C1" s="1"/>
      <c r="D1" s="1"/>
      <c r="E1" s="1"/>
    </row>
    <row r="3" customFormat="false" ht="15" hidden="false" customHeight="false" outlineLevel="0" collapsed="false">
      <c r="B3" s="90" t="s">
        <v>1096</v>
      </c>
      <c r="C3" s="22"/>
      <c r="D3" s="22"/>
      <c r="E3" s="22"/>
    </row>
    <row r="4" customFormat="false" ht="15" hidden="false" customHeight="false" outlineLevel="0" collapsed="false">
      <c r="B4" s="90" t="s">
        <v>1097</v>
      </c>
      <c r="C4" s="22"/>
      <c r="D4" s="22"/>
      <c r="E4" s="22"/>
    </row>
    <row r="5" customFormat="false" ht="15" hidden="false" customHeight="false" outlineLevel="0" collapsed="false">
      <c r="B5" s="90" t="s">
        <v>1098</v>
      </c>
      <c r="C5" s="22"/>
      <c r="D5" s="22"/>
      <c r="E5" s="22"/>
    </row>
    <row r="6" customFormat="false" ht="15" hidden="false" customHeight="false" outlineLevel="0" collapsed="false">
      <c r="B6" s="90" t="s">
        <v>1099</v>
      </c>
      <c r="C6" s="22"/>
      <c r="D6" s="22"/>
      <c r="E6" s="22"/>
    </row>
    <row r="7" customFormat="false" ht="15" hidden="false" customHeight="false" outlineLevel="0" collapsed="false">
      <c r="B7" s="90" t="s">
        <v>1100</v>
      </c>
      <c r="C7" s="22"/>
      <c r="D7" s="22"/>
      <c r="E7" s="22"/>
    </row>
    <row r="8" customFormat="false" ht="15" hidden="false" customHeight="false" outlineLevel="0" collapsed="false">
      <c r="B8" s="90" t="s">
        <v>1101</v>
      </c>
      <c r="C8" s="22"/>
      <c r="D8" s="22"/>
      <c r="E8" s="22"/>
    </row>
    <row r="9" customFormat="false" ht="15" hidden="false" customHeight="false" outlineLevel="0" collapsed="false">
      <c r="B9" s="90" t="s">
        <v>1102</v>
      </c>
      <c r="C9" s="22"/>
      <c r="D9" s="22"/>
      <c r="E9" s="22"/>
    </row>
    <row r="11" customFormat="false" ht="19.5" hidden="false" customHeight="true" outlineLevel="0" collapsed="false">
      <c r="A11" s="28" t="s">
        <v>1103</v>
      </c>
      <c r="B11" s="28"/>
      <c r="C11" s="28"/>
      <c r="D11" s="28"/>
      <c r="E11" s="28"/>
    </row>
    <row r="12" customFormat="false" ht="30" hidden="false" customHeight="true" outlineLevel="0" collapsed="false">
      <c r="A12" s="12" t="s">
        <v>142</v>
      </c>
      <c r="B12" s="12" t="s">
        <v>1104</v>
      </c>
      <c r="C12" s="12" t="s">
        <v>1105</v>
      </c>
      <c r="D12" s="12" t="s">
        <v>758</v>
      </c>
      <c r="E12" s="12" t="s">
        <v>8</v>
      </c>
    </row>
    <row r="13" customFormat="false" ht="15" hidden="false" customHeight="false" outlineLevel="0" collapsed="false">
      <c r="A13" s="13" t="n">
        <v>1</v>
      </c>
      <c r="B13" s="13" t="s">
        <v>1106</v>
      </c>
      <c r="C13" s="13" t="s">
        <v>1107</v>
      </c>
      <c r="D13" s="13" t="s">
        <v>1108</v>
      </c>
      <c r="E13" s="13" t="s">
        <v>297</v>
      </c>
    </row>
    <row r="14" customFormat="false" ht="15" hidden="false" customHeight="false" outlineLevel="0" collapsed="false">
      <c r="A14" s="13" t="n">
        <v>2</v>
      </c>
      <c r="B14" s="13" t="s">
        <v>1109</v>
      </c>
      <c r="C14" s="13" t="s">
        <v>1110</v>
      </c>
      <c r="D14" s="13" t="s">
        <v>1111</v>
      </c>
      <c r="E14" s="13" t="s">
        <v>1112</v>
      </c>
    </row>
    <row r="15" customFormat="false" ht="15" hidden="false" customHeight="false" outlineLevel="0" collapsed="false">
      <c r="A15" s="13" t="n">
        <v>3</v>
      </c>
      <c r="B15" s="13" t="s">
        <v>1113</v>
      </c>
      <c r="C15" s="13" t="s">
        <v>1114</v>
      </c>
      <c r="D15" s="13" t="s">
        <v>1115</v>
      </c>
      <c r="E15" s="13" t="s">
        <v>82</v>
      </c>
    </row>
    <row r="16" customFormat="false" ht="15" hidden="false" customHeight="false" outlineLevel="0" collapsed="false">
      <c r="A16" s="13" t="n">
        <v>4</v>
      </c>
      <c r="B16" s="13" t="s">
        <v>1116</v>
      </c>
      <c r="C16" s="13" t="s">
        <v>1117</v>
      </c>
      <c r="D16" s="13" t="s">
        <v>1118</v>
      </c>
      <c r="E16" s="13" t="s">
        <v>297</v>
      </c>
    </row>
    <row r="17" customFormat="false" ht="23.85" hidden="false" customHeight="false" outlineLevel="0" collapsed="false">
      <c r="A17" s="13" t="n">
        <v>5</v>
      </c>
      <c r="B17" s="13" t="s">
        <v>1119</v>
      </c>
      <c r="C17" s="13" t="s">
        <v>1120</v>
      </c>
      <c r="D17" s="13" t="s">
        <v>1111</v>
      </c>
      <c r="E17" s="13" t="s">
        <v>881</v>
      </c>
    </row>
    <row r="18" customFormat="false" ht="15" hidden="false" customHeight="false" outlineLevel="0" collapsed="false">
      <c r="A18" s="13" t="n">
        <v>6</v>
      </c>
      <c r="B18" s="13" t="s">
        <v>1121</v>
      </c>
      <c r="C18" s="13" t="s">
        <v>1122</v>
      </c>
      <c r="D18" s="13" t="s">
        <v>1111</v>
      </c>
      <c r="E18" s="13" t="s">
        <v>214</v>
      </c>
    </row>
    <row r="19" customFormat="false" ht="15" hidden="false" customHeight="false" outlineLevel="0" collapsed="false">
      <c r="A19" s="13" t="n">
        <v>7</v>
      </c>
      <c r="B19" s="13" t="s">
        <v>1123</v>
      </c>
      <c r="C19" s="13" t="s">
        <v>1124</v>
      </c>
      <c r="D19" s="13" t="s">
        <v>1125</v>
      </c>
      <c r="E19" s="13" t="s">
        <v>297</v>
      </c>
    </row>
    <row r="20" customFormat="false" ht="15" hidden="false" customHeight="false" outlineLevel="0" collapsed="false">
      <c r="A20" s="13" t="n">
        <v>8</v>
      </c>
      <c r="B20" s="13" t="s">
        <v>1126</v>
      </c>
      <c r="C20" s="13" t="s">
        <v>1127</v>
      </c>
      <c r="D20" s="13" t="s">
        <v>1111</v>
      </c>
      <c r="E20" s="13" t="s">
        <v>297</v>
      </c>
    </row>
    <row r="21" customFormat="false" ht="15" hidden="false" customHeight="false" outlineLevel="0" collapsed="false">
      <c r="A21" s="13" t="n">
        <v>9</v>
      </c>
      <c r="B21" s="13" t="s">
        <v>1128</v>
      </c>
      <c r="C21" s="13" t="s">
        <v>1129</v>
      </c>
      <c r="D21" s="13" t="s">
        <v>1130</v>
      </c>
      <c r="E21" s="13" t="s">
        <v>48</v>
      </c>
    </row>
    <row r="23" customFormat="false" ht="19.5" hidden="false" customHeight="true" outlineLevel="0" collapsed="false">
      <c r="A23" s="28" t="s">
        <v>1131</v>
      </c>
      <c r="B23" s="28"/>
      <c r="C23" s="28"/>
      <c r="D23" s="28"/>
      <c r="E23" s="28"/>
    </row>
    <row r="24" customFormat="false" ht="30" hidden="false" customHeight="true" outlineLevel="0" collapsed="false">
      <c r="A24" s="12" t="s">
        <v>142</v>
      </c>
      <c r="B24" s="12" t="s">
        <v>1132</v>
      </c>
      <c r="C24" s="12" t="s">
        <v>8</v>
      </c>
      <c r="D24" s="12" t="s">
        <v>144</v>
      </c>
      <c r="E24" s="12" t="s">
        <v>145</v>
      </c>
    </row>
    <row r="25" customFormat="false" ht="15" hidden="false" customHeight="false" outlineLevel="0" collapsed="false">
      <c r="A25" s="13" t="n">
        <v>1</v>
      </c>
      <c r="B25" s="39"/>
      <c r="C25" s="39"/>
      <c r="D25" s="39"/>
      <c r="E25" s="39"/>
    </row>
    <row r="26" customFormat="false" ht="15" hidden="false" customHeight="false" outlineLevel="0" collapsed="false">
      <c r="A26" s="13" t="n">
        <v>2</v>
      </c>
      <c r="B26" s="39"/>
      <c r="C26" s="39"/>
      <c r="D26" s="39"/>
      <c r="E26" s="39"/>
    </row>
    <row r="27" customFormat="false" ht="15" hidden="false" customHeight="false" outlineLevel="0" collapsed="false">
      <c r="A27" s="13" t="n">
        <v>3</v>
      </c>
      <c r="B27" s="39"/>
      <c r="C27" s="39"/>
      <c r="D27" s="39"/>
      <c r="E27" s="39"/>
    </row>
    <row r="28" customFormat="false" ht="15" hidden="false" customHeight="false" outlineLevel="0" collapsed="false">
      <c r="A28" s="13" t="n">
        <v>4</v>
      </c>
      <c r="B28" s="39"/>
      <c r="C28" s="39"/>
      <c r="D28" s="39"/>
      <c r="E28" s="39"/>
    </row>
    <row r="29" customFormat="false" ht="15" hidden="false" customHeight="false" outlineLevel="0" collapsed="false">
      <c r="A29" s="13" t="n">
        <v>5</v>
      </c>
      <c r="B29" s="39"/>
      <c r="C29" s="39"/>
      <c r="D29" s="39"/>
      <c r="E29" s="39"/>
    </row>
    <row r="30" customFormat="false" ht="15" hidden="false" customHeight="false" outlineLevel="0" collapsed="false">
      <c r="A30" s="13" t="n">
        <v>6</v>
      </c>
      <c r="B30" s="39"/>
      <c r="C30" s="39"/>
      <c r="D30" s="39"/>
      <c r="E30" s="39"/>
    </row>
    <row r="31" customFormat="false" ht="15" hidden="false" customHeight="false" outlineLevel="0" collapsed="false">
      <c r="A31" s="13" t="n">
        <v>7</v>
      </c>
      <c r="B31" s="39"/>
      <c r="C31" s="39"/>
      <c r="D31" s="39"/>
      <c r="E31" s="39"/>
    </row>
    <row r="32" customFormat="false" ht="15" hidden="false" customHeight="false" outlineLevel="0" collapsed="false">
      <c r="A32" s="13" t="n">
        <v>8</v>
      </c>
      <c r="B32" s="39"/>
      <c r="C32" s="39"/>
      <c r="D32" s="39"/>
      <c r="E32" s="39"/>
    </row>
    <row r="33" customFormat="false" ht="15" hidden="false" customHeight="false" outlineLevel="0" collapsed="false">
      <c r="A33" s="13" t="n">
        <v>9</v>
      </c>
      <c r="B33" s="39"/>
      <c r="C33" s="39"/>
      <c r="D33" s="39"/>
      <c r="E33" s="39"/>
    </row>
    <row r="34" customFormat="false" ht="15" hidden="false" customHeight="false" outlineLevel="0" collapsed="false">
      <c r="A34" s="13" t="n">
        <v>10</v>
      </c>
      <c r="B34" s="39"/>
      <c r="C34" s="39"/>
      <c r="D34" s="39"/>
      <c r="E34" s="39"/>
    </row>
    <row r="36" customFormat="false" ht="48" hidden="false" customHeight="true" outlineLevel="0" collapsed="false">
      <c r="A36" s="21" t="s">
        <v>1133</v>
      </c>
      <c r="B36" s="21"/>
      <c r="C36" s="21"/>
      <c r="D36" s="21"/>
      <c r="E36" s="21"/>
    </row>
  </sheetData>
  <mergeCells count="11">
    <mergeCell ref="A1:E1"/>
    <mergeCell ref="C3:E3"/>
    <mergeCell ref="C4:E4"/>
    <mergeCell ref="C5:E5"/>
    <mergeCell ref="C6:E6"/>
    <mergeCell ref="C7:E7"/>
    <mergeCell ref="C8:E8"/>
    <mergeCell ref="C9:E9"/>
    <mergeCell ref="A11:E11"/>
    <mergeCell ref="A23:E23"/>
    <mergeCell ref="A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7" min="2" style="0" width="26"/>
    <col collapsed="false" customWidth="true" hidden="false" outlineLevel="0" max="8" min="8" style="0" width="18"/>
    <col collapsed="false" customWidth="true" hidden="false" outlineLevel="0" max="9" min="9" style="0" width="16"/>
  </cols>
  <sheetData>
    <row r="1" customFormat="false" ht="25.5" hidden="false" customHeight="true" outlineLevel="0" collapsed="false">
      <c r="A1" s="1" t="s">
        <v>1134</v>
      </c>
      <c r="B1" s="1"/>
      <c r="C1" s="1"/>
      <c r="D1" s="1"/>
      <c r="E1" s="1"/>
      <c r="F1" s="1"/>
      <c r="G1" s="1"/>
      <c r="H1" s="1"/>
      <c r="I1" s="1"/>
    </row>
    <row r="2" customFormat="false" ht="15" hidden="false" customHeight="false" outlineLevel="0" collapsed="false">
      <c r="A2" s="111" t="s">
        <v>1135</v>
      </c>
    </row>
    <row r="4" customFormat="false" ht="19.7" hidden="false" customHeight="false" outlineLevel="0" collapsed="false">
      <c r="A4" s="123" t="s">
        <v>1136</v>
      </c>
    </row>
    <row r="5" customFormat="false" ht="30" hidden="false" customHeight="true" outlineLevel="0" collapsed="false">
      <c r="A5" s="12" t="s">
        <v>142</v>
      </c>
      <c r="B5" s="12" t="s">
        <v>1137</v>
      </c>
      <c r="C5" s="12" t="s">
        <v>1138</v>
      </c>
      <c r="D5" s="12" t="s">
        <v>1139</v>
      </c>
      <c r="E5" s="12" t="s">
        <v>1140</v>
      </c>
      <c r="F5" s="12" t="s">
        <v>1141</v>
      </c>
      <c r="G5" s="12" t="s">
        <v>1142</v>
      </c>
      <c r="H5" s="12" t="s">
        <v>8</v>
      </c>
      <c r="I5" s="12" t="s">
        <v>145</v>
      </c>
    </row>
    <row r="6" customFormat="false" ht="15" hidden="false" customHeight="false" outlineLevel="0" collapsed="false">
      <c r="A6" s="13" t="n">
        <v>1</v>
      </c>
      <c r="B6" s="39"/>
      <c r="C6" s="39"/>
      <c r="D6" s="39"/>
      <c r="E6" s="39"/>
      <c r="F6" s="39"/>
      <c r="G6" s="39"/>
      <c r="H6" s="39"/>
      <c r="I6" s="39"/>
    </row>
    <row r="7" customFormat="false" ht="15" hidden="false" customHeight="false" outlineLevel="0" collapsed="false">
      <c r="A7" s="13" t="n">
        <v>2</v>
      </c>
      <c r="B7" s="39"/>
      <c r="C7" s="39"/>
      <c r="D7" s="39"/>
      <c r="E7" s="39"/>
      <c r="F7" s="39"/>
      <c r="G7" s="39"/>
      <c r="H7" s="39"/>
      <c r="I7" s="39"/>
    </row>
    <row r="8" customFormat="false" ht="15" hidden="false" customHeight="false" outlineLevel="0" collapsed="false">
      <c r="A8" s="13" t="n">
        <v>3</v>
      </c>
      <c r="B8" s="39"/>
      <c r="C8" s="39"/>
      <c r="D8" s="39"/>
      <c r="E8" s="39"/>
      <c r="F8" s="39"/>
      <c r="G8" s="39"/>
      <c r="H8" s="39"/>
      <c r="I8" s="39"/>
    </row>
    <row r="9" customFormat="false" ht="15" hidden="false" customHeight="false" outlineLevel="0" collapsed="false">
      <c r="A9" s="13" t="n">
        <v>4</v>
      </c>
      <c r="B9" s="39"/>
      <c r="C9" s="39"/>
      <c r="D9" s="39"/>
      <c r="E9" s="39"/>
      <c r="F9" s="39"/>
      <c r="G9" s="39"/>
      <c r="H9" s="39"/>
      <c r="I9" s="39"/>
    </row>
    <row r="10" customFormat="false" ht="15" hidden="false" customHeight="false" outlineLevel="0" collapsed="false">
      <c r="A10" s="13" t="n">
        <v>5</v>
      </c>
      <c r="B10" s="39"/>
      <c r="C10" s="39"/>
      <c r="D10" s="39"/>
      <c r="E10" s="39"/>
      <c r="F10" s="39"/>
      <c r="G10" s="39"/>
      <c r="H10" s="39"/>
      <c r="I10" s="39"/>
    </row>
    <row r="11" customFormat="false" ht="15" hidden="false" customHeight="false" outlineLevel="0" collapsed="false">
      <c r="A11" s="13" t="n">
        <v>6</v>
      </c>
      <c r="B11" s="39"/>
      <c r="C11" s="39"/>
      <c r="D11" s="39"/>
      <c r="E11" s="39"/>
      <c r="F11" s="39"/>
      <c r="G11" s="39"/>
      <c r="H11" s="39"/>
      <c r="I11" s="39"/>
    </row>
    <row r="12" customFormat="false" ht="15" hidden="false" customHeight="false" outlineLevel="0" collapsed="false">
      <c r="A12" s="13" t="n">
        <v>7</v>
      </c>
      <c r="B12" s="39"/>
      <c r="C12" s="39"/>
      <c r="D12" s="39"/>
      <c r="E12" s="39"/>
      <c r="F12" s="39"/>
      <c r="G12" s="39"/>
      <c r="H12" s="39"/>
      <c r="I12" s="39"/>
    </row>
    <row r="13" customFormat="false" ht="15" hidden="false" customHeight="false" outlineLevel="0" collapsed="false">
      <c r="A13" s="13" t="n">
        <v>8</v>
      </c>
      <c r="B13" s="39"/>
      <c r="C13" s="39"/>
      <c r="D13" s="39"/>
      <c r="E13" s="39"/>
      <c r="F13" s="39"/>
      <c r="G13" s="39"/>
      <c r="H13" s="39"/>
      <c r="I13" s="39"/>
    </row>
    <row r="14" customFormat="false" ht="15" hidden="false" customHeight="false" outlineLevel="0" collapsed="false">
      <c r="A14" s="13" t="n">
        <v>9</v>
      </c>
      <c r="B14" s="39"/>
      <c r="C14" s="39"/>
      <c r="D14" s="39"/>
      <c r="E14" s="39"/>
      <c r="F14" s="39"/>
      <c r="G14" s="39"/>
      <c r="H14" s="39"/>
      <c r="I14" s="39"/>
    </row>
    <row r="15" customFormat="false" ht="15" hidden="false" customHeight="false" outlineLevel="0" collapsed="false">
      <c r="A15" s="13" t="n">
        <v>10</v>
      </c>
      <c r="B15" s="39"/>
      <c r="C15" s="39"/>
      <c r="D15" s="39"/>
      <c r="E15" s="39"/>
      <c r="F15" s="39"/>
      <c r="G15" s="39"/>
      <c r="H15" s="39"/>
      <c r="I15" s="39"/>
    </row>
    <row r="16" customFormat="false" ht="15" hidden="false" customHeight="false" outlineLevel="0" collapsed="false">
      <c r="A16" s="13" t="n">
        <v>11</v>
      </c>
      <c r="B16" s="39"/>
      <c r="C16" s="39"/>
      <c r="D16" s="39"/>
      <c r="E16" s="39"/>
      <c r="F16" s="39"/>
      <c r="G16" s="39"/>
      <c r="H16" s="39"/>
      <c r="I16" s="39"/>
    </row>
    <row r="17" customFormat="false" ht="15" hidden="false" customHeight="false" outlineLevel="0" collapsed="false">
      <c r="A17" s="13" t="n">
        <v>12</v>
      </c>
      <c r="B17" s="39"/>
      <c r="C17" s="39"/>
      <c r="D17" s="39"/>
      <c r="E17" s="39"/>
      <c r="F17" s="39"/>
      <c r="G17" s="39"/>
      <c r="H17" s="39"/>
      <c r="I17" s="39"/>
    </row>
    <row r="18" customFormat="false" ht="15" hidden="false" customHeight="false" outlineLevel="0" collapsed="false">
      <c r="A18" s="13" t="n">
        <v>13</v>
      </c>
      <c r="B18" s="39"/>
      <c r="C18" s="39"/>
      <c r="D18" s="39"/>
      <c r="E18" s="39"/>
      <c r="F18" s="39"/>
      <c r="G18" s="39"/>
      <c r="H18" s="39"/>
      <c r="I18" s="39"/>
    </row>
    <row r="19" customFormat="false" ht="15" hidden="false" customHeight="false" outlineLevel="0" collapsed="false">
      <c r="A19" s="13" t="n">
        <v>14</v>
      </c>
      <c r="B19" s="39"/>
      <c r="C19" s="39"/>
      <c r="D19" s="39"/>
      <c r="E19" s="39"/>
      <c r="F19" s="39"/>
      <c r="G19" s="39"/>
      <c r="H19" s="39"/>
      <c r="I19" s="39"/>
    </row>
    <row r="20" customFormat="false" ht="15" hidden="false" customHeight="false" outlineLevel="0" collapsed="false">
      <c r="A20" s="13" t="n">
        <v>15</v>
      </c>
      <c r="B20" s="39"/>
      <c r="C20" s="39"/>
      <c r="D20" s="39"/>
      <c r="E20" s="39"/>
      <c r="F20" s="39"/>
      <c r="G20" s="39"/>
      <c r="H20" s="39"/>
      <c r="I20" s="39"/>
    </row>
    <row r="21" customFormat="false" ht="15" hidden="false" customHeight="false" outlineLevel="0" collapsed="false">
      <c r="A21" s="13" t="n">
        <v>16</v>
      </c>
      <c r="B21" s="39"/>
      <c r="C21" s="39"/>
      <c r="D21" s="39"/>
      <c r="E21" s="39"/>
      <c r="F21" s="39"/>
      <c r="G21" s="39"/>
      <c r="H21" s="39"/>
      <c r="I21" s="39"/>
    </row>
    <row r="22" customFormat="false" ht="15" hidden="false" customHeight="false" outlineLevel="0" collapsed="false">
      <c r="A22" s="13" t="n">
        <v>17</v>
      </c>
      <c r="B22" s="39"/>
      <c r="C22" s="39"/>
      <c r="D22" s="39"/>
      <c r="E22" s="39"/>
      <c r="F22" s="39"/>
      <c r="G22" s="39"/>
      <c r="H22" s="39"/>
      <c r="I22" s="39"/>
    </row>
    <row r="23" customFormat="false" ht="15" hidden="false" customHeight="false" outlineLevel="0" collapsed="false">
      <c r="A23" s="13" t="n">
        <v>18</v>
      </c>
      <c r="B23" s="39"/>
      <c r="C23" s="39"/>
      <c r="D23" s="39"/>
      <c r="E23" s="39"/>
      <c r="F23" s="39"/>
      <c r="G23" s="39"/>
      <c r="H23" s="39"/>
      <c r="I23" s="39"/>
    </row>
    <row r="24" customFormat="false" ht="15" hidden="false" customHeight="false" outlineLevel="0" collapsed="false">
      <c r="A24" s="13" t="n">
        <v>19</v>
      </c>
      <c r="B24" s="39"/>
      <c r="C24" s="39"/>
      <c r="D24" s="39"/>
      <c r="E24" s="39"/>
      <c r="F24" s="39"/>
      <c r="G24" s="39"/>
      <c r="H24" s="39"/>
      <c r="I24" s="39"/>
    </row>
    <row r="25" customFormat="false" ht="15" hidden="false" customHeight="false" outlineLevel="0" collapsed="false">
      <c r="A25" s="13" t="n">
        <v>20</v>
      </c>
      <c r="B25" s="39"/>
      <c r="C25" s="39"/>
      <c r="D25" s="39"/>
      <c r="E25" s="39"/>
      <c r="F25" s="39"/>
      <c r="G25" s="39"/>
      <c r="H25" s="39"/>
      <c r="I25" s="39"/>
    </row>
    <row r="28" customFormat="false" ht="19.7" hidden="false" customHeight="false" outlineLevel="0" collapsed="false">
      <c r="A28" s="123" t="s">
        <v>1143</v>
      </c>
    </row>
    <row r="29" customFormat="false" ht="30" hidden="false" customHeight="true" outlineLevel="0" collapsed="false">
      <c r="A29" s="12" t="s">
        <v>142</v>
      </c>
      <c r="B29" s="12" t="s">
        <v>1144</v>
      </c>
      <c r="C29" s="12" t="s">
        <v>1105</v>
      </c>
      <c r="D29" s="12" t="s">
        <v>8</v>
      </c>
      <c r="E29" s="12" t="s">
        <v>144</v>
      </c>
      <c r="F29" s="12" t="s">
        <v>666</v>
      </c>
      <c r="G29" s="12" t="s">
        <v>145</v>
      </c>
      <c r="H29" s="12" t="s">
        <v>146</v>
      </c>
      <c r="I29" s="12"/>
    </row>
    <row r="30" customFormat="false" ht="15" hidden="false" customHeight="false" outlineLevel="0" collapsed="false">
      <c r="A30" s="13" t="n">
        <v>1</v>
      </c>
      <c r="B30" s="39"/>
      <c r="C30" s="39"/>
      <c r="D30" s="39"/>
      <c r="E30" s="39"/>
      <c r="F30" s="39"/>
      <c r="G30" s="39"/>
      <c r="H30" s="39"/>
      <c r="I30" s="13"/>
    </row>
    <row r="31" customFormat="false" ht="15" hidden="false" customHeight="false" outlineLevel="0" collapsed="false">
      <c r="A31" s="13" t="n">
        <v>2</v>
      </c>
      <c r="B31" s="39"/>
      <c r="C31" s="39"/>
      <c r="D31" s="39"/>
      <c r="E31" s="39"/>
      <c r="F31" s="39"/>
      <c r="G31" s="39"/>
      <c r="H31" s="39"/>
      <c r="I31" s="13"/>
    </row>
    <row r="32" customFormat="false" ht="15" hidden="false" customHeight="false" outlineLevel="0" collapsed="false">
      <c r="A32" s="13" t="n">
        <v>3</v>
      </c>
      <c r="B32" s="39"/>
      <c r="C32" s="39"/>
      <c r="D32" s="39"/>
      <c r="E32" s="39"/>
      <c r="F32" s="39"/>
      <c r="G32" s="39"/>
      <c r="H32" s="39"/>
      <c r="I32" s="13"/>
    </row>
    <row r="33" customFormat="false" ht="15" hidden="false" customHeight="false" outlineLevel="0" collapsed="false">
      <c r="A33" s="13" t="n">
        <v>4</v>
      </c>
      <c r="B33" s="39"/>
      <c r="C33" s="39"/>
      <c r="D33" s="39"/>
      <c r="E33" s="39"/>
      <c r="F33" s="39"/>
      <c r="G33" s="39"/>
      <c r="H33" s="39"/>
      <c r="I33" s="13"/>
    </row>
    <row r="34" customFormat="false" ht="15" hidden="false" customHeight="false" outlineLevel="0" collapsed="false">
      <c r="A34" s="13" t="n">
        <v>5</v>
      </c>
      <c r="B34" s="39"/>
      <c r="C34" s="39"/>
      <c r="D34" s="39"/>
      <c r="E34" s="39"/>
      <c r="F34" s="39"/>
      <c r="G34" s="39"/>
      <c r="H34" s="39"/>
      <c r="I34" s="13"/>
    </row>
    <row r="35" customFormat="false" ht="15" hidden="false" customHeight="false" outlineLevel="0" collapsed="false">
      <c r="A35" s="13" t="n">
        <v>6</v>
      </c>
      <c r="B35" s="39"/>
      <c r="C35" s="39"/>
      <c r="D35" s="39"/>
      <c r="E35" s="39"/>
      <c r="F35" s="39"/>
      <c r="G35" s="39"/>
      <c r="H35" s="39"/>
      <c r="I35" s="13"/>
    </row>
    <row r="36" customFormat="false" ht="15" hidden="false" customHeight="false" outlineLevel="0" collapsed="false">
      <c r="A36" s="13" t="n">
        <v>7</v>
      </c>
      <c r="B36" s="39"/>
      <c r="C36" s="39"/>
      <c r="D36" s="39"/>
      <c r="E36" s="39"/>
      <c r="F36" s="39"/>
      <c r="G36" s="39"/>
      <c r="H36" s="39"/>
      <c r="I36" s="13"/>
    </row>
    <row r="37" customFormat="false" ht="15" hidden="false" customHeight="false" outlineLevel="0" collapsed="false">
      <c r="A37" s="13" t="n">
        <v>8</v>
      </c>
      <c r="B37" s="39"/>
      <c r="C37" s="39"/>
      <c r="D37" s="39"/>
      <c r="E37" s="39"/>
      <c r="F37" s="39"/>
      <c r="G37" s="39"/>
      <c r="H37" s="39"/>
      <c r="I37" s="13"/>
    </row>
    <row r="38" customFormat="false" ht="15" hidden="false" customHeight="false" outlineLevel="0" collapsed="false">
      <c r="A38" s="13" t="n">
        <v>9</v>
      </c>
      <c r="B38" s="39"/>
      <c r="C38" s="39"/>
      <c r="D38" s="39"/>
      <c r="E38" s="39"/>
      <c r="F38" s="39"/>
      <c r="G38" s="39"/>
      <c r="H38" s="39"/>
      <c r="I38" s="13"/>
    </row>
    <row r="39" customFormat="false" ht="15" hidden="false" customHeight="false" outlineLevel="0" collapsed="false">
      <c r="A39" s="13" t="n">
        <v>10</v>
      </c>
      <c r="B39" s="39"/>
      <c r="C39" s="39"/>
      <c r="D39" s="39"/>
      <c r="E39" s="39"/>
      <c r="F39" s="39"/>
      <c r="G39" s="39"/>
      <c r="H39" s="39"/>
      <c r="I39" s="13"/>
    </row>
    <row r="40" customFormat="false" ht="15" hidden="false" customHeight="false" outlineLevel="0" collapsed="false">
      <c r="A40" s="13" t="n">
        <v>11</v>
      </c>
      <c r="B40" s="39"/>
      <c r="C40" s="39"/>
      <c r="D40" s="39"/>
      <c r="E40" s="39"/>
      <c r="F40" s="39"/>
      <c r="G40" s="39"/>
      <c r="H40" s="39"/>
      <c r="I40" s="13"/>
    </row>
    <row r="41" customFormat="false" ht="15" hidden="false" customHeight="false" outlineLevel="0" collapsed="false">
      <c r="A41" s="13" t="n">
        <v>12</v>
      </c>
      <c r="B41" s="39"/>
      <c r="C41" s="39"/>
      <c r="D41" s="39"/>
      <c r="E41" s="39"/>
      <c r="F41" s="39"/>
      <c r="G41" s="39"/>
      <c r="H41" s="39"/>
      <c r="I41" s="13"/>
    </row>
    <row r="42" customFormat="false" ht="15" hidden="false" customHeight="false" outlineLevel="0" collapsed="false">
      <c r="A42" s="13" t="n">
        <v>13</v>
      </c>
      <c r="B42" s="39"/>
      <c r="C42" s="39"/>
      <c r="D42" s="39"/>
      <c r="E42" s="39"/>
      <c r="F42" s="39"/>
      <c r="G42" s="39"/>
      <c r="H42" s="39"/>
      <c r="I42" s="13"/>
    </row>
    <row r="43" customFormat="false" ht="15" hidden="false" customHeight="false" outlineLevel="0" collapsed="false">
      <c r="A43" s="13" t="n">
        <v>14</v>
      </c>
      <c r="B43" s="39"/>
      <c r="C43" s="39"/>
      <c r="D43" s="39"/>
      <c r="E43" s="39"/>
      <c r="F43" s="39"/>
      <c r="G43" s="39"/>
      <c r="H43" s="39"/>
      <c r="I43" s="13"/>
    </row>
    <row r="44" customFormat="false" ht="15" hidden="false" customHeight="false" outlineLevel="0" collapsed="false">
      <c r="A44" s="13" t="n">
        <v>15</v>
      </c>
      <c r="B44" s="39"/>
      <c r="C44" s="39"/>
      <c r="D44" s="39"/>
      <c r="E44" s="39"/>
      <c r="F44" s="39"/>
      <c r="G44" s="39"/>
      <c r="H44" s="39"/>
      <c r="I44" s="13"/>
    </row>
    <row r="45" customFormat="false" ht="15" hidden="false" customHeight="false" outlineLevel="0" collapsed="false">
      <c r="A45" s="13" t="n">
        <v>16</v>
      </c>
      <c r="B45" s="39"/>
      <c r="C45" s="39"/>
      <c r="D45" s="39"/>
      <c r="E45" s="39"/>
      <c r="F45" s="39"/>
      <c r="G45" s="39"/>
      <c r="H45" s="39"/>
      <c r="I45" s="13"/>
    </row>
    <row r="46" customFormat="false" ht="15" hidden="false" customHeight="false" outlineLevel="0" collapsed="false">
      <c r="A46" s="13" t="n">
        <v>17</v>
      </c>
      <c r="B46" s="39"/>
      <c r="C46" s="39"/>
      <c r="D46" s="39"/>
      <c r="E46" s="39"/>
      <c r="F46" s="39"/>
      <c r="G46" s="39"/>
      <c r="H46" s="39"/>
      <c r="I46" s="13"/>
    </row>
    <row r="47" customFormat="false" ht="15" hidden="false" customHeight="false" outlineLevel="0" collapsed="false">
      <c r="A47" s="13" t="n">
        <v>18</v>
      </c>
      <c r="B47" s="39"/>
      <c r="C47" s="39"/>
      <c r="D47" s="39"/>
      <c r="E47" s="39"/>
      <c r="F47" s="39"/>
      <c r="G47" s="39"/>
      <c r="H47" s="39"/>
      <c r="I47" s="13"/>
    </row>
    <row r="48" customFormat="false" ht="15" hidden="false" customHeight="false" outlineLevel="0" collapsed="false">
      <c r="A48" s="13" t="n">
        <v>19</v>
      </c>
      <c r="B48" s="39"/>
      <c r="C48" s="39"/>
      <c r="D48" s="39"/>
      <c r="E48" s="39"/>
      <c r="F48" s="39"/>
      <c r="G48" s="39"/>
      <c r="H48" s="39"/>
      <c r="I48" s="13"/>
    </row>
    <row r="49" customFormat="false" ht="15" hidden="false" customHeight="false" outlineLevel="0" collapsed="false">
      <c r="A49" s="13" t="n">
        <v>20</v>
      </c>
      <c r="B49" s="39"/>
      <c r="C49" s="39"/>
      <c r="D49" s="39"/>
      <c r="E49" s="39"/>
      <c r="F49" s="39"/>
      <c r="G49" s="39"/>
      <c r="H49" s="39"/>
      <c r="I49" s="13"/>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2026-07-11T12:40:14Z</dcterms:created>
  <dc:creator>openpyxl</dc:creator>
  <dc:description/>
  <dc:language>en-US</dc:language>
  <cp:lastModifiedBy/>
  <dcterms:modified xsi:type="dcterms:W3CDTF">2026-07-11T12:40:14Z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