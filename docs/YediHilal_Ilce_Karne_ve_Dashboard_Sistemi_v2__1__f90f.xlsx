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KULLANIM" sheetId="1" state="visible" r:id="rId3"/>
    <sheet name="1 AYAR" sheetId="2" state="visible" r:id="rId4"/>
    <sheet name="2 ARAMA KILAVUZU" sheetId="3" state="visible" r:id="rId5"/>
    <sheet name="3 VERI GIRISI" sheetId="4" state="visible" r:id="rId6"/>
    <sheet name="4 AYLIK ARSIV" sheetId="5" state="visible" r:id="rId7"/>
    <sheet name="5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<sst xmlns="http://schemas.openxmlformats.org/spreadsheetml/2006/main" count="491" uniqueCount="286">
  <si>
    <t xml:space="preserve">YEDİHİLAL İSTANBUL — İLÇE KARNE VE PERFORMANS SİSTEMİ</t>
  </si>
  <si>
    <t xml:space="preserve">◐
LOGO
BURAYA</t>
  </si>
  <si>
    <t xml:space="preserve">YEDİHİLAL — Yedi Tepeden Yedi Kıtaya</t>
  </si>
  <si>
    <t xml:space="preserve">İLKELERİMİZ:  İman · İlim · İstişare · İrfan · Hikmet · Ahlak · Hareket</t>
  </si>
  <si>
    <t xml:space="preserve">«Nizamsız hâk, nizamlı bâtıla mağlûb olur.» — Mustafa Sabri Efendi</t>
  </si>
  <si>
    <t xml:space="preserve">«Biz zaferden değil seferden sorumluyuz.»</t>
  </si>
  <si>
    <t xml:space="preserve">Bu dosya, İstanbul'un 39 ilçesinin tamamını kapsar. Temsilciliğimiz olan 9 ilçe AKTİF; kalan 30 ilçe hazır bekliyor — açıldıkça «AKTİF?» sütununu «Evet» yap, sistem onu kendiliğinden sıralamaya ve dashboard'a alır.</t>
  </si>
  <si>
    <t xml:space="preserve">↑ Kurumsal YediHilal logosunu bu kutuya yapıştır (Ekle → Resim).</t>
  </si>
  <si>
    <t xml:space="preserve">AYLIK DÖNGÜ — 4 ADIM</t>
  </si>
  <si>
    <t xml:space="preserve">Adım</t>
  </si>
  <si>
    <t xml:space="preserve">Ne yapılır</t>
  </si>
  <si>
    <t xml:space="preserve">KİM YAPAR</t>
  </si>
  <si>
    <t xml:space="preserve">Ne zaman</t>
  </si>
  <si>
    <t xml:space="preserve">1 — ARA VE SOR</t>
  </si>
  <si>
    <t xml:space="preserve">«2 ARAMA KILAVUZU» sekmesini önüne al. 12 soruyu sırayla sor. Cevapları doğrudan «3 VERİ GİRİŞİ»ne yaz.</t>
  </si>
  <si>
    <t xml:space="preserve">Veri ve Raporlama Birimi / arayan görevli</t>
  </si>
  <si>
    <t xml:space="preserve">Ayın son haftası</t>
  </si>
  <si>
    <t xml:space="preserve">2 — GİR</t>
  </si>
  <si>
    <t xml:space="preserve">Sadece MAVİ (ham veri) sütunları doldur. PUAN sütunlarına DOKUNMA — kendiliğinden hesaplanır.</t>
  </si>
  <si>
    <t xml:space="preserve">Arayan görevli</t>
  </si>
  <si>
    <t xml:space="preserve">Arama sırasında</t>
  </si>
  <si>
    <t xml:space="preserve">3 — ARŞİVLE</t>
  </si>
  <si>
    <t xml:space="preserve">«3 VERİ GİRİŞİ»ndeki TOPLAM sütununu kopyala → «4 AYLIK ARŞİV»de o ayın sütununa DEĞER olarak yapıştır (Ctrl+Shift+V).</t>
  </si>
  <si>
    <t xml:space="preserve">Sekreterya (Mücahit Tiryaki)</t>
  </si>
  <si>
    <t xml:space="preserve">Ay bitince</t>
  </si>
  <si>
    <t xml:space="preserve">4 — SUN</t>
  </si>
  <si>
    <t xml:space="preserve">«5 DASHBOARD» otomatik dolar: sıralama, trend okları, zayıf kriter haritası, grafikler. Ekranı yansıt.</t>
  </si>
  <si>
    <t xml:space="preserve">Teşkilatlanma Birim Başkanı</t>
  </si>
  <si>
    <t xml:space="preserve">Ayın ilk haftası, Reis'e</t>
  </si>
  <si>
    <t xml:space="preserve">YENİ TEMSİLCİLİK AÇILDIĞINDA: «3 VERİ GİRİŞİ»nde o ilçenin satırını bul, «AKTİF?» sütununu «Evet» yap. Hepsi bu. Sıralama, ortalama, dashboard ve grafikler kendiliğinden o ilçeyi de hesaba katar. 39 ilçenin tamamı hazır bekliyor.</t>
  </si>
  <si>
    <t xml:space="preserve">BAŞLIKLARI DEĞİŞTİRMEK İSTERSEN</t>
  </si>
  <si>
    <t xml:space="preserve">«1 AYAR» sekmesine git. 12 kriterin ADI, TİPİ, KATSAYISI ve MAX PUANI orada — hepsi mavi, hepsi değiştirilebilir.
· Kriter adını değiştir → veri girişi, arama kılavuzu ve dashboard başlıkları kendiliğinden değişir.
· Katsayı veya max puanı değiştir → 39 ilçenin puanı anında yeniden hesaplanır.
· TEK KURAL: max puanların toplamı 100 olmalı. Ayar sayfasında otomatik kontrol var.
· Tipler: «Sayı» (adet × katsayı) · «Evet/Hayır» (Var/Yapıldı = tam puan) · «Metin» (anlamlı açıklama = tam puan).</t>
  </si>
  <si>
    <t xml:space="preserve">MART 2024 DOĞRULAMASI</t>
  </si>
  <si>
    <t xml:space="preserve">Motor, Mart 2024 karnenizin ham verisiyle test edildi. 9 ilçenin 8'i BİREBİR aynı çıkıyor (Bahçelievler 63,00 · Kartal 46,50 · Kadıköy 41,50 · Kağıthane 39,00 · Bağcılar 36,00 · Ümraniye 35,00 · Üsküdar 32,50 · Pendik 30,00).
TEK FARK — ESENLER: Orijinalde 59,00, sistemde 58,00. Sebebi: kurumsal ziyaret sayısı 6 ve tabloya 6 puan yazılmış — ama o kriterin tavanı 5. Orijinal tabloda tavan uygulanmamış. Sistem uyguluyor: tavan olmazsa ağırlıklandırma bozulur ve toplam 100'ü aşabilir.</t>
  </si>
  <si>
    <t xml:space="preserve">AYAR — KRİTER VE PUANLAMA MOTORU</t>
  </si>
  <si>
    <t xml:space="preserve">#</t>
  </si>
  <si>
    <t xml:space="preserve">KRİTER ADI (değiştirilebilir)</t>
  </si>
  <si>
    <t xml:space="preserve">TİP</t>
  </si>
  <si>
    <t xml:space="preserve">KATSAYI</t>
  </si>
  <si>
    <t xml:space="preserve">MAX PUAN</t>
  </si>
  <si>
    <t xml:space="preserve">PUANLAMA KURALI</t>
  </si>
  <si>
    <t xml:space="preserve">Veri Girişi sütunu</t>
  </si>
  <si>
    <t xml:space="preserve">İlçe Yönetim Kurulu kişi sayısı</t>
  </si>
  <si>
    <t xml:space="preserve">Sayı</t>
  </si>
  <si>
    <t xml:space="preserve">Her kişi 1 puan. Tavan 20.</t>
  </si>
  <si>
    <t xml:space="preserve">E</t>
  </si>
  <si>
    <t xml:space="preserve">Aylık yapılan YK toplantı sayısı</t>
  </si>
  <si>
    <t xml:space="preserve">Her toplantı 2,5 puan. Tavan 10 (4 toplantı = tam puan).</t>
  </si>
  <si>
    <t xml:space="preserve">G</t>
  </si>
  <si>
    <t xml:space="preserve">İlçenin kendine ait temsilcilik merkezi var mı?</t>
  </si>
  <si>
    <t xml:space="preserve">Evet/Hayır</t>
  </si>
  <si>
    <t xml:space="preserve">Var = 5, Yok = 0.</t>
  </si>
  <si>
    <t xml:space="preserve">I</t>
  </si>
  <si>
    <t xml:space="preserve">Yed-i Hilal Meclisi kişi sayısı</t>
  </si>
  <si>
    <t xml:space="preserve">Her kişi 0,5 puan. Tavan 10 (20 kişi).</t>
  </si>
  <si>
    <t xml:space="preserve">K</t>
  </si>
  <si>
    <t xml:space="preserve">Yeni gönüllü çalışması katılım sayısı</t>
  </si>
  <si>
    <t xml:space="preserve">Her yeni gönüllü 1 puan. Tavan 10.</t>
  </si>
  <si>
    <t xml:space="preserve">M</t>
  </si>
  <si>
    <t xml:space="preserve">«Yatsıya Kadar» programı yapıldı mı?</t>
  </si>
  <si>
    <t xml:space="preserve">Yapıldı = 10, Yapılmadı = 0.</t>
  </si>
  <si>
    <t xml:space="preserve">O</t>
  </si>
  <si>
    <t xml:space="preserve">Sabah Namazı Buluşması yapıldı mı?</t>
  </si>
  <si>
    <t xml:space="preserve">Q</t>
  </si>
  <si>
    <t xml:space="preserve">Ortaokul ziyareti (kaç okula?)</t>
  </si>
  <si>
    <t xml:space="preserve">Her okul 1 puan. Tavan 5.</t>
  </si>
  <si>
    <t xml:space="preserve">S</t>
  </si>
  <si>
    <t xml:space="preserve">Lise ziyareti (kaç okula?)</t>
  </si>
  <si>
    <t xml:space="preserve">U</t>
  </si>
  <si>
    <t xml:space="preserve">Bağışçı ziyareti (kaç ziyaret?)</t>
  </si>
  <si>
    <t xml:space="preserve">Her ziyaret 1 puan. Tavan 5.</t>
  </si>
  <si>
    <t xml:space="preserve">W</t>
  </si>
  <si>
    <t xml:space="preserve">Kurumsal ziyaret (kaç kurum?)</t>
  </si>
  <si>
    <t xml:space="preserve">Her kurum 1 puan. Tavan 5.</t>
  </si>
  <si>
    <t xml:space="preserve">Y</t>
  </si>
  <si>
    <t xml:space="preserve">İlçeye özgün çalışma (nerede, ne zaman, ne yapıldı?)</t>
  </si>
  <si>
    <t xml:space="preserve">Metin</t>
  </si>
  <si>
    <t xml:space="preserve">Anlamlı açıklama = 5 puan; boş = 0.</t>
  </si>
  <si>
    <t xml:space="preserve">AA</t>
  </si>
  <si>
    <t xml:space="preserve">MAX PUAN TOPLAMI</t>
  </si>
  <si>
    <t xml:space="preserve">TİP AÇIKLAMASI</t>
  </si>
  <si>
    <t xml:space="preserve">Tip</t>
  </si>
  <si>
    <t xml:space="preserve">Nasıl puanlanır</t>
  </si>
  <si>
    <t xml:space="preserve">Örnek</t>
  </si>
  <si>
    <t xml:space="preserve">Puan = adet × katsayı; MAX PUAN'ı aşamaz</t>
  </si>
  <si>
    <t xml:space="preserve">12 kişilik YK × 1 = 12 puan · 4 toplantı × 2,5 = 10 puan</t>
  </si>
  <si>
    <t xml:space="preserve">«Var» / «Yapıldı» / «Evet» → TAM PUAN; başka her şey 0</t>
  </si>
  <si>
    <t xml:space="preserve">Merkez «Var» → 5 · Sabah namazı «Yapılmadı» → 0</t>
  </si>
  <si>
    <t xml:space="preserve">3 harften uzun anlamlı açıklama → TAM PUAN; boş → 0</t>
  </si>
  <si>
    <t xml:space="preserve">«Baba-Oğul Etkinlikleri» → 5 puan</t>
  </si>
  <si>
    <t xml:space="preserve">SINIF EŞİKLERİ (değiştirilebilir)</t>
  </si>
  <si>
    <t xml:space="preserve">Sınıf</t>
  </si>
  <si>
    <t xml:space="preserve">Alt sınır</t>
  </si>
  <si>
    <t xml:space="preserve">Anlamı</t>
  </si>
  <si>
    <t xml:space="preserve">Zorunlu aksiyon</t>
  </si>
  <si>
    <t xml:space="preserve">A</t>
  </si>
  <si>
    <t xml:space="preserve">Örnek ilçe</t>
  </si>
  <si>
    <t xml:space="preserve">Model olarak sunulur, diğerlerine anlattırılır, yıl sonu ödül</t>
  </si>
  <si>
    <t xml:space="preserve">B</t>
  </si>
  <si>
    <t xml:space="preserve">Sağlıklı</t>
  </si>
  <si>
    <t xml:space="preserve">Standart takip; bir zayıf kriterde hedef verilir</t>
  </si>
  <si>
    <t xml:space="preserve">C</t>
  </si>
  <si>
    <t xml:space="preserve">Riskli</t>
  </si>
  <si>
    <t xml:space="preserve">Ay içinde ziyaret + yazılı gelişim planı</t>
  </si>
  <si>
    <t xml:space="preserve">D</t>
  </si>
  <si>
    <t xml:space="preserve">Kritik</t>
  </si>
  <si>
    <t xml:space="preserve">Temsilci ile birebir görüşme + 60 gün içinde kadro değerlendirmesi</t>
  </si>
  <si>
    <t xml:space="preserve">EŞİK NOTU: Mart 2024 İstanbul ortalaması 42,17 ve en yüksek puan 63'tü. Klasik 85/70/50 eşiği kullanılsaydı 9 ilçenin 9'u da C-D çıkardı; bu da karneyi anlamsızlaştırır ve ekibi kırar. Eşikler gerçekliğe göre 65/50/35 kondu. Ortalama yükseldikçe eşiği de yukarı çek — karne gerçeği ölçmeli, moral bozmamalı.</t>
  </si>
  <si>
    <t xml:space="preserve">ARAMA KILAVUZU — TELEFONDA NE SORULACAK, KİME KAÇ PUAN VERİLECEK</t>
  </si>
  <si>
    <t xml:space="preserve">Bu sayfa, arama yapacak görevlinin önüne konur. Görevli PUAN VERMEZ — sadece cevabı yazar. Puanı sistem hesaplar. Görevlinin tek işi: doğru soruyu sormak ve doğru hücreye yazmak.</t>
  </si>
  <si>
    <t xml:space="preserve">Kriter</t>
  </si>
  <si>
    <t xml:space="preserve">TELEFONDA SORULACAK CÜMLE (birebir oku)</t>
  </si>
  <si>
    <t xml:space="preserve">Hangi sütuna</t>
  </si>
  <si>
    <t xml:space="preserve">Nasıl yazılır</t>
  </si>
  <si>
    <t xml:space="preserve">Bu kaç puan eder</t>
  </si>
  <si>
    <t xml:space="preserve">DİKKAT / TUZAK</t>
  </si>
  <si>
    <t xml:space="preserve">Max</t>
  </si>
  <si>
    <t xml:space="preserve">«Yönetim kurulunuz kaç kişi? Listede adı olup toplantıya gelmeyeni sayma.»</t>
  </si>
  <si>
    <t xml:space="preserve">Sadece RAKAM yaz (0, 1, 2, 3...)</t>
  </si>
  <si>
    <t xml:space="preserve">Her 1 adet = 1 puan (tavan 20)</t>
  </si>
  <si>
    <t xml:space="preserve">En sık şişirilen kalem. 'Listede 18 var' derse sor: 'Son toplantıya kaçı geldi?'</t>
  </si>
  <si>
    <t xml:space="preserve">«Bu ay kaç kez yönetim kurulu toplantısı yaptınız? Tutanağı var mı?»</t>
  </si>
  <si>
    <t xml:space="preserve">Her 1 adet = 2,5 puan (tavan 10)</t>
  </si>
  <si>
    <t xml:space="preserve">Tutanağı olmayan toplantı sayılmaz. 'Yaptık ama yazmadık' = yapılmamıştır.</t>
  </si>
  <si>
    <t xml:space="preserve">«Kendinize ait, 7/24 kullanabildiğiniz bir merkeziniz var mı?»</t>
  </si>
  <si>
    <t xml:space="preserve">«Var»/«Yok» veya «Yapıldı»/«Yapılmadı» (açılır menü var)</t>
  </si>
  <si>
    <t xml:space="preserve">Var/Yapıldı = 5 puan · Yok/Yapılmadı = 0</t>
  </si>
  <si>
    <t xml:space="preserve">Cami odası paylaşmak 'var' sayılmaz. Kira ödeniyor mu, anahtar sizde mi?</t>
  </si>
  <si>
    <t xml:space="preserve">«Yed-i Hilal Meclisiniz kaç kişi? Son ne zaman toplandı?»</t>
  </si>
  <si>
    <t xml:space="preserve">Her 1 adet = 0,5 puan (tavan 10)</t>
  </si>
  <si>
    <t xml:space="preserve">İsim listesi değil, gerçekten toplanan meclis sorulmalı.</t>
  </si>
  <si>
    <t xml:space="preserve">«Bu ay ilk defa çalışmalarımıza katılan kaç YENİ isim oldu? İsimleri neler?»</t>
  </si>
  <si>
    <t xml:space="preserve">Her 1 adet = 1 puan (tavan 10)</t>
  </si>
  <si>
    <t xml:space="preserve">'Yeni' = bu ay ilk kez gelen. İsimleri de iste — Aday Havuzu'na yazacaksın.</t>
  </si>
  <si>
    <t xml:space="preserve">«Bu ay Yatsıya Kadar programı yaptınız mı? Kaç kişi katıldı?»</t>
  </si>
  <si>
    <t xml:space="preserve">Var/Yapıldı = 10 puan · Yok/Yapılmadı = 0</t>
  </si>
  <si>
    <t xml:space="preserve">Mart 2024'te 9 ilçenin 9'u da yapmamış. Tek soruda 10 puan — en kolay kazanılacak puan burada.</t>
  </si>
  <si>
    <t xml:space="preserve">«Bu ay sabah namazı buluşması yaptınız mı? Hangi camide, kaç kişi?»</t>
  </si>
  <si>
    <t xml:space="preserve">Cami adı ve katılım sayısı sorulmadan 'yapıldı' yazılmaz.</t>
  </si>
  <si>
    <t xml:space="preserve">«Bu ay kaç ORTAOKULA ziyaret yaptınız? Okul isimleri?»</t>
  </si>
  <si>
    <t xml:space="preserve">Her 1 adet = 1 puan (tavan 5)</t>
  </si>
  <si>
    <t xml:space="preserve">Aynı okula 3 kez gitmek 1 okuldur. Okul SAYISI soruluyor.</t>
  </si>
  <si>
    <t xml:space="preserve">«Bu ay kaç LİSEYE ziyaret yaptınız? Okul isimleri?»</t>
  </si>
  <si>
    <t xml:space="preserve">İmam-Hatip Liseleri öncelikli. Hangi liseye gidildiğini not al.</t>
  </si>
  <si>
    <t xml:space="preserve">«Bu ay kaç bağışçı/hayırsever ziyareti yaptınız?»</t>
  </si>
  <si>
    <t xml:space="preserve">Telefonla arama ziyaret değildir. Yüz yüze görüşme sayılır.</t>
  </si>
  <si>
    <t xml:space="preserve">«Hangi kurumları ziyaret ettiniz? (müftülük, okul idaresi, STK, belediye, esnaf odası)»</t>
  </si>
  <si>
    <t xml:space="preserve">TAVAN 5'TİR. Mart 2024'te bir ilçeye 6 puan yazılmış — sistem artık buna izin vermiyor.</t>
  </si>
  <si>
    <t xml:space="preserve">«Sadece size özgü, başka ilçede olmayan bir çalışma yaptınız mı? Nerede, ne zaman, kaç kişiyle?»</t>
  </si>
  <si>
    <t xml:space="preserve">Açıklamayı CÜMLE olarak yaz</t>
  </si>
  <si>
    <t xml:space="preserve">Anlamlı açıklama = 5 puan · boş = 0</t>
  </si>
  <si>
    <t xml:space="preserve">'Evet yaptık' yetmez. Nerede + ne zaman + kaç kişi yoksa puan yok.</t>
  </si>
  <si>
    <t xml:space="preserve">ARAMANIN AKIŞI</t>
  </si>
  <si>
    <t xml:space="preserve">Aşama</t>
  </si>
  <si>
    <t xml:space="preserve">Ne denir / ne yapılır</t>
  </si>
  <si>
    <t xml:space="preserve">Süre</t>
  </si>
  <si>
    <t xml:space="preserve">Açılış</t>
  </si>
  <si>
    <t xml:space="preserve">«Selamünaleyküm [isim] kardeşim, ben [görevli], İl Teşkilatlanma Komisyonu'ndan arıyorum. Aylık raporunuz için 10 dakikanızı alabilir miyim?»</t>
  </si>
  <si>
    <t xml:space="preserve">1 dk</t>
  </si>
  <si>
    <t xml:space="preserve">Çerçeve</t>
  </si>
  <si>
    <t xml:space="preserve">«Bu bir denetim değil; ihtiyacınızı görebilmemiz için. 12 kısa soru soracağım.»</t>
  </si>
  <si>
    <t xml:space="preserve">30 sn</t>
  </si>
  <si>
    <t xml:space="preserve">12 soru</t>
  </si>
  <si>
    <t xml:space="preserve">Yukarıdaki sırayla, birebir sor. Cevabı ANINDA Veri Girişi'ne yaz. Yorum yapma, tartışma.</t>
  </si>
  <si>
    <t xml:space="preserve">6-8 dk</t>
  </si>
  <si>
    <t xml:space="preserve">Yeni isim avı</t>
  </si>
  <si>
    <t xml:space="preserve">«Bu ay öne çıkan, görev verilebilecek 2 genç ismi söyler misin?» → Aday Havuzu'na aktar.</t>
  </si>
  <si>
    <t xml:space="preserve">Komşu ilçe sorusu</t>
  </si>
  <si>
    <t xml:space="preserve">«Yan ilçede (hedef ilçe adı) tanıdığın var mı? Yeni teşkilat için isim arıyoruz.» → 30 hedef ilçenin kapısı bu soru.</t>
  </si>
  <si>
    <t xml:space="preserve">İhtiyaç sorusu</t>
  </si>
  <si>
    <t xml:space="preserve">«Bizden ne bekliyorsun? İl olarak size en çok neyle destek olabiliriz?»</t>
  </si>
  <si>
    <t xml:space="preserve">Kapanış</t>
  </si>
  <si>
    <t xml:space="preserve">«Allah razı olsun. Puanın çıkınca sana da göndereceğim.» → Şeffaflık güven verir.</t>
  </si>
  <si>
    <t xml:space="preserve">GÖREVLİNİN ALTIN KURALLARI</t>
  </si>
  <si>
    <t xml:space="preserve">1. PUAN VERME. Sen sadece cevabı yazarsın; puanı Excel hesaplar. Böylece kimse 'bana neden az verdin' diyemez.</t>
  </si>
  <si>
    <t xml:space="preserve">2. TAHMİN ETME. 'Şey, galiba 3-4' derse: «Net rakam söyle, yoksa düşüğünü yazacağım.» Belirsizlik daima düşük yazılır.</t>
  </si>
  <si>
    <t xml:space="preserve">3. KANIT SOR. Toplantı için tutanak, program için katılım sayısı, okul için OKUL ADI. Kanıtsız beyan yazılmaz.</t>
  </si>
  <si>
    <t xml:space="preserve">4. AYNI GÜN GİR. Kâğıda not alıp sonra girme — kayıp ve hata buradan çıkar.</t>
  </si>
  <si>
    <t xml:space="preserve">5. TARTIŞMA. İtiraz gelirse: «Ham veriyi ben yazdım, puanı sistem verdi. Yanlış yazdıysam düzeltelim.»</t>
  </si>
  <si>
    <t xml:space="preserve">6. AYIN ORTASINDA HATIRLAT. Ay sonunda tek aramayla 12 soruyu doldurmak zordur. Ayın 15'inde kısa bir hatırlatma araması yap.</t>
  </si>
  <si>
    <t xml:space="preserve">AYLIK VERİ GİRİŞİ — İSTANBUL'UN 39 İLÇESİ (sadece AKTİF olanlar puanlanır)</t>
  </si>
  <si>
    <t xml:space="preserve">Değerlendirme ayı:</t>
  </si>
  <si>
    <t xml:space="preserve">Mart 2024</t>
  </si>
  <si>
    <t xml:space="preserve">← Örnek veri: Mart 2024 gerçek karneniz. Yeni ay için ham veri sütunlarını temizle. Yeni temsilcilik açılınca AKTİF? = Evet yap.</t>
  </si>
  <si>
    <t xml:space="preserve">Sıra</t>
  </si>
  <si>
    <t xml:space="preserve">Bölge</t>
  </si>
  <si>
    <t xml:space="preserve">İLÇE</t>
  </si>
  <si>
    <t xml:space="preserve">AKTİF?</t>
  </si>
  <si>
    <t xml:space="preserve">TOPLAM</t>
  </si>
  <si>
    <t xml:space="preserve">SINIF</t>
  </si>
  <si>
    <t xml:space="preserve">Sıralama anahtarı</t>
  </si>
  <si>
    <t xml:space="preserve">Arayan / tarih</t>
  </si>
  <si>
    <t xml:space="preserve">Ham veri</t>
  </si>
  <si>
    <t xml:space="preserve">PUAN</t>
  </si>
  <si>
    <t xml:space="preserve">B1 HALİÇ HATTI</t>
  </si>
  <si>
    <t xml:space="preserve">Fatih</t>
  </si>
  <si>
    <t xml:space="preserve">Hayır</t>
  </si>
  <si>
    <t xml:space="preserve">Eyüpsultan</t>
  </si>
  <si>
    <t xml:space="preserve">Gaziosmanpaşa</t>
  </si>
  <si>
    <t xml:space="preserve">Sultangazi</t>
  </si>
  <si>
    <t xml:space="preserve">Bayrampaşa</t>
  </si>
  <si>
    <t xml:space="preserve">Kağıthane</t>
  </si>
  <si>
    <t xml:space="preserve">Evet</t>
  </si>
  <si>
    <t xml:space="preserve">Yok</t>
  </si>
  <si>
    <t xml:space="preserve">Yapılmadı</t>
  </si>
  <si>
    <t xml:space="preserve">Yapıldı</t>
  </si>
  <si>
    <t xml:space="preserve">Bir okulda Sahabe Hayatları Dersleri; Ramazan'da okulda iftar</t>
  </si>
  <si>
    <t xml:space="preserve">Beyoğlu</t>
  </si>
  <si>
    <t xml:space="preserve">Şişli</t>
  </si>
  <si>
    <t xml:space="preserve">Sarıyer</t>
  </si>
  <si>
    <t xml:space="preserve">Beşiktaş</t>
  </si>
  <si>
    <t xml:space="preserve">B2 TRAKYA HATTI</t>
  </si>
  <si>
    <t xml:space="preserve">Bağcılar</t>
  </si>
  <si>
    <t xml:space="preserve">Var</t>
  </si>
  <si>
    <t xml:space="preserve">Bahçelievler</t>
  </si>
  <si>
    <t xml:space="preserve">Ramazan faaliyetleri; öğrencilerle cami buluşması; 50 öğrenciye iftar</t>
  </si>
  <si>
    <t xml:space="preserve">Esenler</t>
  </si>
  <si>
    <t xml:space="preserve">Lise Ramazan İftarı</t>
  </si>
  <si>
    <t xml:space="preserve">Güngören</t>
  </si>
  <si>
    <t xml:space="preserve">Küçükçekmece</t>
  </si>
  <si>
    <t xml:space="preserve">Başakşehir</t>
  </si>
  <si>
    <t xml:space="preserve">Esenyurt</t>
  </si>
  <si>
    <t xml:space="preserve">Zeytinburnu</t>
  </si>
  <si>
    <t xml:space="preserve">Bakırköy</t>
  </si>
  <si>
    <t xml:space="preserve">Avcılar</t>
  </si>
  <si>
    <t xml:space="preserve">Beylikdüzü</t>
  </si>
  <si>
    <t xml:space="preserve">Büyükçekmece</t>
  </si>
  <si>
    <t xml:space="preserve">Arnavutköy</t>
  </si>
  <si>
    <t xml:space="preserve">Çatalca</t>
  </si>
  <si>
    <t xml:space="preserve">Silivri</t>
  </si>
  <si>
    <t xml:space="preserve">B3 BOĞAZ HATTI</t>
  </si>
  <si>
    <t xml:space="preserve">Üsküdar (Kirazlıtepe)</t>
  </si>
  <si>
    <t xml:space="preserve">Ümraniye</t>
  </si>
  <si>
    <t xml:space="preserve">Perşembe günleri 20.30 genel sohbet</t>
  </si>
  <si>
    <t xml:space="preserve">Sancaktepe</t>
  </si>
  <si>
    <t xml:space="preserve">Çekmeköy</t>
  </si>
  <si>
    <t xml:space="preserve">Ataşehir</t>
  </si>
  <si>
    <t xml:space="preserve">Beykoz</t>
  </si>
  <si>
    <t xml:space="preserve">B4 MARMARA HATTI</t>
  </si>
  <si>
    <t xml:space="preserve">Kadıköy</t>
  </si>
  <si>
    <t xml:space="preserve">Cuma günleri lise ve üniversite öğrencilerine kelam sohbetleri</t>
  </si>
  <si>
    <t xml:space="preserve">Kartal</t>
  </si>
  <si>
    <t xml:space="preserve">Baba-Oğul Etkinlikleri</t>
  </si>
  <si>
    <t xml:space="preserve">Pendik</t>
  </si>
  <si>
    <t xml:space="preserve">Maltepe</t>
  </si>
  <si>
    <t xml:space="preserve">Sultanbeyli</t>
  </si>
  <si>
    <t xml:space="preserve">Tuzla</t>
  </si>
  <si>
    <t xml:space="preserve">Şile</t>
  </si>
  <si>
    <t xml:space="preserve">Adalar</t>
  </si>
  <si>
    <t xml:space="preserve">İSTANBUL ORTALAMASI (aktif ilçeler)</t>
  </si>
  <si>
    <t xml:space="preserve">AKTİF İLÇE SAYISI</t>
  </si>
  <si>
    <t xml:space="preserve">MAVİ = ham veri (arayan görevli doldurur). GRİ PUAN sütunları = formül, dokunma. KOYU YEŞİL ilçeler = temsilciliğimiz var. GRİ ilçeler = henüz yok, AKTİF? sütunu «Hayır».
YENİ TEMSİLCİLİK AÇILINCA: O ilçenin AKTİF? hücresini «Evet» yap. Sıralama, ortalama ve dashboard kendiliğinden onu da hesaba katar.</t>
  </si>
  <si>
    <t xml:space="preserve">AYLIK ARŞİV — 12 AYLIK PUAN TARİHÇESİ (39 ilçe)</t>
  </si>
  <si>
    <t xml:space="preserve">Her ay sonunda «3 VERİ GİRİŞİ»ndeki TOPLAM sütununu kopyala → ilgili ay sütununa DEĞER olarak yapıştır (Ctrl+Shift+V). Sorumlu: Sekreterya.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</si>
  <si>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</si>
  <si>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</si>
  <si>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</si>
  <si>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</si>
  <si>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</si>
  <si>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</si>
  <si>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</si>
  <si>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</si>
  <si>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</si>
  <si>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</si>
  <si>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</si>
  <si>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</si>
  <si>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Yıllık ort.</t>
  </si>
  <si>
    <t xml:space="preserve">Trend</t>
  </si>
  <si>
    <t xml:space="preserve">İSTANBUL ORTALAMASI</t>
  </si>
  <si>
    <t xml:space="preserve">Temsilciliğimiz olmayan ilçeler bölge renginde ve boş. Açıldıkça satırları dolmaya başlar. Trend grafiği ve ▲▼ okları arşiv doldukça canlanır.</t>
  </si>
  <si>
    <t xml:space="preserve">İLÇE PERFORMANS DASHBOARD — YEDİHİLAL İSTANBUL</t>
  </si>
  <si>
    <t xml:space="preserve">Aktif ay no (1=Ocak … 12=Aralık):</t>
  </si>
  <si>
    <t xml:space="preserve">← karşılaştırma bu aya göre</t>
  </si>
  <si>
    <t xml:space="preserve">İSTANBUL'DA
TOPLAM İLÇE</t>
  </si>
  <si>
    <t xml:space="preserve">TEMSİLCİLİĞİMİZ
OLAN İLÇE</t>
  </si>
  <si>
    <t xml:space="preserve">KAPSAMA
ORANI</t>
  </si>
  <si>
    <t xml:space="preserve">ORTALAMA
PUAN</t>
  </si>
  <si>
    <t xml:space="preserve">EN YÜKSEK
PUAN</t>
  </si>
  <si>
    <t xml:space="preserve">EN DÜŞÜK
PUAN</t>
  </si>
  <si>
    <t xml:space="preserve">YATSI PROGRAMI
YAPMAYAN İLÇE</t>
  </si>
  <si>
    <t xml:space="preserve">GENEL SIRALAMA (sadece aktif temsilcilikler)</t>
  </si>
  <si>
    <t xml:space="preserve">KRİTER ANALİZİ — İSTANBUL NEREDE ZAYIF?</t>
  </si>
  <si>
    <t xml:space="preserve">Ort. puan</t>
  </si>
  <si>
    <t xml:space="preserve">Doluluk %</t>
  </si>
  <si>
    <t xml:space="preserve">Yorum / aksiyon</t>
  </si>
  <si>
    <t xml:space="preserve">NASIL OKUNUR: Sıralama KİMİN zayıf olduğunu söyler. Kriter analizi NEYİN zayıf olduğunu söyler — asıl yönetim kararı buradan çıkar.
Örnek (Mart 2024): «Yatsıya Kadar»da doluluk %0 — 9 ilçenin 9'u da yapmamış. Bu, ilçelerin tembelliği değil; İL SEVİYESİNDE bir eksikliktir. Tek bir il kararıyla 9 ilçeye birden 10'ar puan kazandırırsın: İstanbul ortalaması 42 → 52.
Okul ziyaretleri %13-18, YK toplantısı %92. Yani teşkilat TOPLANIYOR ama SAHAYA ÇIKMIYOR. Karnenin sana söylediği en sert cümle bu.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</si>
</sst>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"/>
    <numFmt numFmtId="167" formatCode="0.00"/>
    <numFmt numFmtId="168" formatCode="0.0000"/>
    <numFmt numFmtId="169" formatCode="0"/>
    <numFmt numFmtId="170" formatCode="0%"/>
    <numFmt numFmtId="171" formatCode="\+0.0;\-0.0;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4"/>
      <color rgb="FF7B1010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11"/>
      <color rgb="FF7B1010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7B10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7B10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8"/>
      <color rgb="FF0000FF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7B1010"/>
      <name val="Arial"/>
      <family val="0"/>
      <charset val="1"/>
    </font>
    <font>
      <b val="true"/>
      <sz val="9"/>
      <color rgb="FF444444"/>
      <name val="Arial"/>
      <family val="0"/>
      <charset val="1"/>
    </font>
    <font>
      <b val="true"/>
      <sz val="18"/>
      <color rgb="FF7B1010"/>
      <name val="Arial"/>
      <family val="0"/>
      <charset val="1"/>
    </font>
    <font>
      <sz val="9"/>
      <color rgb="FF7B10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7B1010"/>
        <bgColor rgb="FF800000"/>
      </patternFill>
    </fill>
    <fill>
      <patternFill patternType="solid">
        <fgColor rgb="FF1A1A1A"/>
        <bgColor rgb="FF000000"/>
      </patternFill>
    </fill>
    <fill>
      <patternFill patternType="solid">
        <fgColor rgb="FFDDEBF7"/>
        <bgColor rgb="FFE2EFDA"/>
      </patternFill>
    </fill>
    <fill>
      <patternFill patternType="solid">
        <fgColor rgb="FFF5C242"/>
        <bgColor rgb="FFFFE599"/>
      </patternFill>
    </fill>
    <fill>
      <patternFill patternType="solid">
        <fgColor rgb="FFF7E3E3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FEFEF"/>
      </patternFill>
    </fill>
    <fill>
      <patternFill patternType="solid">
        <fgColor rgb="FFEFEFEF"/>
        <bgColor rgb="FFE2EFDA"/>
      </patternFill>
    </fill>
    <fill>
      <patternFill patternType="solid">
        <fgColor rgb="FFF4CCCC"/>
        <bgColor rgb="FFD9D9D9"/>
      </patternFill>
    </fill>
    <fill>
      <patternFill patternType="solid">
        <fgColor rgb="FFFFFFFF"/>
        <bgColor rgb="FFEFEFEF"/>
      </patternFill>
    </fill>
    <fill>
      <patternFill patternType="solid">
        <fgColor rgb="FF375623"/>
        <bgColor rgb="FF444444"/>
      </patternFill>
    </fill>
    <fill>
      <patternFill patternType="solid">
        <fgColor rgb="FFFFE599"/>
        <bgColor rgb="FFF7E3E3"/>
      </patternFill>
    </fill>
    <fill>
      <patternFill patternType="solid">
        <fgColor rgb="FFBDD7EE"/>
        <bgColor rgb="FFD9D9D9"/>
      </patternFill>
    </fill>
    <fill>
      <patternFill patternType="solid">
        <fgColor rgb="FFC6E0B4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8F00"/>
      </left>
      <right style="medium">
        <color rgb="FFBF8F00"/>
      </right>
      <top style="medium">
        <color rgb="FFBF8F00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01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EFEFEF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E599"/>
      <rgbColor rgb="FFC6E0B4"/>
      <rgbColor rgb="FFF7E3E3"/>
      <rgbColor rgb="FFCC99FF"/>
      <rgbColor rgb="FFF4CCCC"/>
      <rgbColor rgb="FF4A7EBB"/>
      <rgbColor rgb="FF33CCCC"/>
      <rgbColor rgb="FF99CC00"/>
      <rgbColor rgb="FFF5C242"/>
      <rgbColor rgb="FFBF8F00"/>
      <rgbColor rgb="FFFF6600"/>
      <rgbColor rgb="FF666666"/>
      <rgbColor rgb="FF969696"/>
      <rgbColor rgb="FF003366"/>
      <rgbColor rgb="FF4F81BD"/>
      <rgbColor rgb="FF375623"/>
      <rgbColor rgb="FF1A1A1A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Aktif İlçe Toplam Puanları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'5 DASHBOARD'!C9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 DASHBOARD'!$B$10:$B$29</c:f>
              <c:strCache>
                <c:ptCount val="20"/>
                <c:pt idx="0">
                  <c:v>Bahçelievler</c:v>
                </c:pt>
                <c:pt idx="1">
                  <c:v>Esenler</c:v>
                </c:pt>
                <c:pt idx="2">
                  <c:v>Kartal</c:v>
                </c:pt>
                <c:pt idx="3">
                  <c:v>Kadıköy</c:v>
                </c:pt>
                <c:pt idx="4">
                  <c:v>Kağıthane</c:v>
                </c:pt>
                <c:pt idx="5">
                  <c:v>Bağcılar</c:v>
                </c:pt>
                <c:pt idx="6">
                  <c:v>Ümraniye</c:v>
                </c:pt>
                <c:pt idx="7">
                  <c:v>Üsküdar (Kirazlıtepe)</c:v>
                </c:pt>
                <c:pt idx="8">
                  <c:v>Pendik</c:v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'5 DASHBOARD'!$C$10:$C$29</c:f>
              <c:numCache>
                <c:formatCode>0.00</c:formatCode>
                <c:ptCount val="20"/>
                <c:pt idx="0">
                  <c:v>63</c:v>
                </c:pt>
                <c:pt idx="1">
                  <c:v>58</c:v>
                </c:pt>
                <c:pt idx="2">
                  <c:v>46.5</c:v>
                </c:pt>
                <c:pt idx="3">
                  <c:v>41.5</c:v>
                </c:pt>
                <c:pt idx="4">
                  <c:v>39</c:v>
                </c:pt>
                <c:pt idx="5">
                  <c:v>36</c:v>
                </c:pt>
                <c:pt idx="6">
                  <c:v>35</c:v>
                </c:pt>
                <c:pt idx="7">
                  <c:v>32.5</c:v>
                </c:pt>
                <c:pt idx="8">
                  <c:v>30</c:v>
                </c:pt>
              </c:numCache>
            </c:numRef>
          </c:val>
        </c:ser>
        <c:gapWidth val="150"/>
        <c:overlap val="0"/>
        <c:axId val="42735059"/>
        <c:axId val="87760661"/>
      </c:barChart>
      <c:catAx>
        <c:axId val="427350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60661"/>
        <c:crosses val="autoZero"/>
        <c:auto val="1"/>
        <c:lblAlgn val="ctr"/>
        <c:lblOffset val="100"/>
        <c:noMultiLvlLbl val="0"/>
      </c:catAx>
      <c:valAx>
        <c:axId val="877606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350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Kriter Doluluk Oranı (İstanbul geneli)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'5 DASHBOARD'!L9</c:f>
              <c:strCache>
                <c:ptCount val="1"/>
                <c:pt idx="0">
                  <c:v>Doluluk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 DASHBOARD'!$I$10:$I$21</c:f>
              <c:strCache>
                <c:ptCount val="12"/>
                <c:pt idx="0">
                  <c:v>İlçe Yönetim Kurulu kişi sayısı</c:v>
                </c:pt>
                <c:pt idx="1">
                  <c:v>Aylık yapılan YK toplantı sayısı</c:v>
                </c:pt>
                <c:pt idx="2">
                  <c:v>İlçenin kendine ait temsilcilik merkezi var mı?</c:v>
                </c:pt>
                <c:pt idx="3">
                  <c:v>Yed-i Hilal Meclisi kişi sayısı</c:v>
                </c:pt>
                <c:pt idx="4">
                  <c:v>Yeni gönüllü çalışması katılım sayısı</c:v>
                </c:pt>
                <c:pt idx="5">
                  <c:v>«Yatsıya Kadar» programı yapıldı mı?</c:v>
                </c:pt>
                <c:pt idx="6">
                  <c:v>Sabah Namazı Buluşması yapıldı mı?</c:v>
                </c:pt>
                <c:pt idx="7">
                  <c:v>Ortaokul ziyareti (kaç okula?)</c:v>
                </c:pt>
                <c:pt idx="8">
                  <c:v>Lise ziyareti (kaç okula?)</c:v>
                </c:pt>
                <c:pt idx="9">
                  <c:v>Bağışçı ziyareti (kaç ziyaret?)</c:v>
                </c:pt>
                <c:pt idx="10">
                  <c:v>Kurumsal ziyaret (kaç kurum?)</c:v>
                </c:pt>
                <c:pt idx="11">
                  <c:v>İlçeye özgün çalışma (nerede, ne zaman, ne yapıldı?)</c:v>
                </c:pt>
              </c:strCache>
            </c:strRef>
          </c:cat>
          <c:val>
            <c:numRef>
              <c:f>'5 DASHBOARD'!$L$10:$L$21</c:f>
              <c:numCache>
                <c:formatCode>0%</c:formatCode>
                <c:ptCount val="12"/>
                <c:pt idx="0">
                  <c:v>0.538888888888889</c:v>
                </c:pt>
                <c:pt idx="1">
                  <c:v>0.916666666666667</c:v>
                </c:pt>
                <c:pt idx="2">
                  <c:v>0.777777777777778</c:v>
                </c:pt>
                <c:pt idx="3">
                  <c:v>0.433333333333333</c:v>
                </c:pt>
                <c:pt idx="4">
                  <c:v>0.211111111111111</c:v>
                </c:pt>
                <c:pt idx="5">
                  <c:v>0</c:v>
                </c:pt>
                <c:pt idx="6">
                  <c:v>0.444444444444445</c:v>
                </c:pt>
                <c:pt idx="7">
                  <c:v>0.133333333333333</c:v>
                </c:pt>
                <c:pt idx="8">
                  <c:v>0.177777777777778</c:v>
                </c:pt>
                <c:pt idx="9">
                  <c:v>0.288888888888889</c:v>
                </c:pt>
                <c:pt idx="10">
                  <c:v>0.266666666666667</c:v>
                </c:pt>
                <c:pt idx="11">
                  <c:v>0.666666666666667</c:v>
                </c:pt>
              </c:numCache>
            </c:numRef>
          </c:val>
        </c:ser>
        <c:gapWidth val="150"/>
        <c:overlap val="0"/>
        <c:axId val="11794454"/>
        <c:axId val="57377533"/>
      </c:barChart>
      <c:catAx>
        <c:axId val="117944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77533"/>
        <c:crosses val="autoZero"/>
        <c:auto val="1"/>
        <c:lblAlgn val="ctr"/>
        <c:lblOffset val="100"/>
        <c:noMultiLvlLbl val="0"/>
      </c:catAx>
      <c:valAx>
        <c:axId val="573775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944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İstanbul Ortalama Puan — 12 Aylık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'4 AYLIK ARSIV'!B44</c:f>
              <c:strCache>
                <c:ptCount val="1"/>
                <c:pt idx="0">
                  <c:v>İSTANBUL ORTALAMASI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 AYLIK ARSIV'!$C$4:$N$4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'4 AYLIK ARSIV'!$C$44:$N$44</c:f>
              <c:numCache>
                <c:formatCode>0.0</c:formatCode>
                <c:ptCount val="12"/>
                <c:pt idx="2">
                  <c:v>42.3888888888889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680676"/>
        <c:axId val="22288412"/>
      </c:lineChart>
      <c:catAx>
        <c:axId val="116806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88412"/>
        <c:crosses val="autoZero"/>
        <c:auto val="1"/>
        <c:lblAlgn val="ctr"/>
        <c:lblOffset val="100"/>
        <c:noMultiLvlLbl val="0"/>
      </c:catAx>
      <c:valAx>
        <c:axId val="22288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Ortalama puan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806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104760</xdr:rowOff>
    </xdr:from>
    <xdr:to>
      <xdr:col>8</xdr:col>
      <xdr:colOff>1044720</xdr:colOff>
      <xdr:row>42</xdr:row>
      <xdr:rowOff>137520</xdr:rowOff>
    </xdr:to>
    <xdr:graphicFrame>
      <xdr:nvGraphicFramePr>
        <xdr:cNvPr id="0" name="Chart 1"/>
        <xdr:cNvGraphicFramePr/>
      </xdr:nvGraphicFramePr>
      <xdr:xfrm>
        <a:off x="211320" y="66484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28</xdr:row>
      <xdr:rowOff>104760</xdr:rowOff>
    </xdr:from>
    <xdr:to>
      <xdr:col>12</xdr:col>
      <xdr:colOff>1749600</xdr:colOff>
      <xdr:row>45</xdr:row>
      <xdr:rowOff>105840</xdr:rowOff>
    </xdr:to>
    <xdr:graphicFrame>
      <xdr:nvGraphicFramePr>
        <xdr:cNvPr id="1" name="Chart 2"/>
        <xdr:cNvGraphicFramePr/>
      </xdr:nvGraphicFramePr>
      <xdr:xfrm>
        <a:off x="5286240" y="66484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47</xdr:row>
      <xdr:rowOff>104760</xdr:rowOff>
    </xdr:from>
    <xdr:to>
      <xdr:col>13</xdr:col>
      <xdr:colOff>538920</xdr:colOff>
      <xdr:row>61</xdr:row>
      <xdr:rowOff>137520</xdr:rowOff>
    </xdr:to>
    <xdr:graphicFrame>
      <xdr:nvGraphicFramePr>
        <xdr:cNvPr id="2" name="Chart 3"/>
        <xdr:cNvGraphicFramePr/>
      </xdr:nvGraphicFramePr>
      <xdr:xfrm>
        <a:off x="211320" y="10267920"/>
        <a:ext cx="122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3" customFormat="false" ht="17.35" hidden="false" customHeight="true" outlineLevel="0" collapsed="false">
      <c r="B3" s="2" t="s">
        <v>1</v>
      </c>
      <c r="C3" s="3" t="s">
        <v>2</v>
      </c>
      <c r="D3" s="3"/>
      <c r="E3" s="3"/>
    </row>
    <row r="4" customFormat="false" ht="15" hidden="false" customHeight="false" outlineLevel="0" collapsed="false">
      <c r="B4" s="2"/>
      <c r="C4" s="4" t="s">
        <v>3</v>
      </c>
      <c r="D4" s="4"/>
      <c r="E4" s="4"/>
    </row>
    <row r="5" customFormat="false" ht="15" hidden="false" customHeight="false" outlineLevel="0" collapsed="false">
      <c r="B5" s="2"/>
      <c r="C5" s="5" t="s">
        <v>4</v>
      </c>
      <c r="D5" s="5"/>
      <c r="E5" s="5"/>
    </row>
    <row r="6" customFormat="false" ht="15" hidden="false" customHeight="false" outlineLevel="0" collapsed="false">
      <c r="B6" s="2"/>
      <c r="C6" s="5" t="s">
        <v>5</v>
      </c>
      <c r="D6" s="5"/>
      <c r="E6" s="5"/>
    </row>
    <row r="7" customFormat="false" ht="30" hidden="false" customHeight="true" outlineLevel="0" collapsed="false">
      <c r="B7" s="2"/>
      <c r="C7" s="6" t="s">
        <v>6</v>
      </c>
      <c r="D7" s="6"/>
      <c r="E7" s="6"/>
    </row>
    <row r="8" customFormat="false" ht="15" hidden="false" customHeight="false" outlineLevel="0" collapsed="false">
      <c r="B8" s="7" t="s">
        <v>7</v>
      </c>
      <c r="C8" s="7"/>
      <c r="D8" s="7"/>
      <c r="E8" s="7"/>
    </row>
    <row r="10" customFormat="false" ht="15" hidden="false" customHeight="false" outlineLevel="0" collapsed="false">
      <c r="B10" s="8" t="s">
        <v>8</v>
      </c>
    </row>
    <row r="11" customFormat="false" ht="33.75" hidden="false" customHeight="true" outlineLevel="0" collapsed="false">
      <c r="A11" s="9"/>
      <c r="B11" s="9" t="s">
        <v>9</v>
      </c>
      <c r="C11" s="9" t="s">
        <v>10</v>
      </c>
      <c r="D11" s="9" t="s">
        <v>11</v>
      </c>
      <c r="E11" s="9" t="s">
        <v>12</v>
      </c>
    </row>
    <row r="12" customFormat="false" ht="46.25" hidden="false" customHeight="false" outlineLevel="0" collapsed="false">
      <c r="A12" s="10"/>
      <c r="B12" s="11" t="s">
        <v>13</v>
      </c>
      <c r="C12" s="10" t="s">
        <v>14</v>
      </c>
      <c r="D12" s="12" t="s">
        <v>15</v>
      </c>
      <c r="E12" s="10" t="s">
        <v>16</v>
      </c>
    </row>
    <row r="13" customFormat="false" ht="46.25" hidden="false" customHeight="false" outlineLevel="0" collapsed="false">
      <c r="A13" s="10"/>
      <c r="B13" s="11" t="s">
        <v>17</v>
      </c>
      <c r="C13" s="10" t="s">
        <v>18</v>
      </c>
      <c r="D13" s="12" t="s">
        <v>19</v>
      </c>
      <c r="E13" s="10" t="s">
        <v>20</v>
      </c>
    </row>
    <row r="14" customFormat="false" ht="46.25" hidden="false" customHeight="false" outlineLevel="0" collapsed="false">
      <c r="A14" s="10"/>
      <c r="B14" s="11" t="s">
        <v>21</v>
      </c>
      <c r="C14" s="10" t="s">
        <v>22</v>
      </c>
      <c r="D14" s="12" t="s">
        <v>23</v>
      </c>
      <c r="E14" s="10" t="s">
        <v>24</v>
      </c>
    </row>
    <row r="15" customFormat="false" ht="35.05" hidden="false" customHeight="false" outlineLevel="0" collapsed="false">
      <c r="A15" s="10"/>
      <c r="B15" s="11" t="s">
        <v>25</v>
      </c>
      <c r="C15" s="10" t="s">
        <v>26</v>
      </c>
      <c r="D15" s="12" t="s">
        <v>27</v>
      </c>
      <c r="E15" s="10" t="s">
        <v>28</v>
      </c>
    </row>
    <row r="17" customFormat="false" ht="39.75" hidden="false" customHeight="true" outlineLevel="0" collapsed="false">
      <c r="A17" s="13" t="s">
        <v>29</v>
      </c>
      <c r="B17" s="13"/>
      <c r="C17" s="13"/>
      <c r="D17" s="13"/>
      <c r="E17" s="13"/>
    </row>
    <row r="19" customFormat="false" ht="15" hidden="false" customHeight="false" outlineLevel="0" collapsed="false">
      <c r="B19" s="8" t="s">
        <v>30</v>
      </c>
    </row>
    <row r="20" customFormat="false" ht="90" hidden="false" customHeight="true" outlineLevel="0" collapsed="false">
      <c r="A20" s="14" t="s">
        <v>31</v>
      </c>
      <c r="B20" s="14"/>
      <c r="C20" s="14"/>
      <c r="D20" s="14"/>
      <c r="E20" s="14"/>
    </row>
    <row r="22" customFormat="false" ht="15" hidden="false" customHeight="false" outlineLevel="0" collapsed="false">
      <c r="B22" s="8" t="s">
        <v>32</v>
      </c>
    </row>
    <row r="23" customFormat="false" ht="79.5" hidden="false" customHeight="true" outlineLevel="0" collapsed="false">
      <c r="A23" s="15" t="s">
        <v>33</v>
      </c>
      <c r="B23" s="15"/>
      <c r="C23" s="15"/>
      <c r="D23" s="15"/>
      <c r="E23" s="15"/>
    </row>
  </sheetData>
  <mergeCells count="11">
    <mergeCell ref="A1:E1"/>
    <mergeCell ref="B3:B7"/>
    <mergeCell ref="C3:E3"/>
    <mergeCell ref="C4:E4"/>
    <mergeCell ref="C5:E5"/>
    <mergeCell ref="C6:E6"/>
    <mergeCell ref="C7:E7"/>
    <mergeCell ref="B8:E8"/>
    <mergeCell ref="A17:E17"/>
    <mergeCell ref="A20:E20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</row>
    <row r="3" customFormat="false" ht="33.75" hidden="false" customHeight="true" outlineLevel="0" collapsed="false">
      <c r="A3" s="9" t="s">
        <v>35</v>
      </c>
      <c r="B3" s="9" t="s">
        <v>36</v>
      </c>
      <c r="C3" s="9" t="s">
        <v>37</v>
      </c>
      <c r="D3" s="9" t="s">
        <v>38</v>
      </c>
      <c r="E3" s="9" t="s">
        <v>39</v>
      </c>
      <c r="F3" s="9" t="s">
        <v>40</v>
      </c>
      <c r="G3" s="9" t="s">
        <v>41</v>
      </c>
    </row>
    <row r="4" customFormat="false" ht="27.75" hidden="false" customHeight="true" outlineLevel="0" collapsed="false">
      <c r="A4" s="10" t="n">
        <v>1</v>
      </c>
      <c r="B4" s="16" t="s">
        <v>42</v>
      </c>
      <c r="C4" s="17" t="s">
        <v>43</v>
      </c>
      <c r="D4" s="17" t="n">
        <v>1</v>
      </c>
      <c r="E4" s="17" t="n">
        <v>20</v>
      </c>
      <c r="F4" s="10" t="s">
        <v>44</v>
      </c>
      <c r="G4" s="18" t="s">
        <v>45</v>
      </c>
    </row>
    <row r="5" customFormat="false" ht="27.75" hidden="false" customHeight="true" outlineLevel="0" collapsed="false">
      <c r="A5" s="10" t="n">
        <v>2</v>
      </c>
      <c r="B5" s="16" t="s">
        <v>46</v>
      </c>
      <c r="C5" s="17" t="s">
        <v>43</v>
      </c>
      <c r="D5" s="17" t="n">
        <v>2.5</v>
      </c>
      <c r="E5" s="17" t="n">
        <v>10</v>
      </c>
      <c r="F5" s="10" t="s">
        <v>47</v>
      </c>
      <c r="G5" s="18" t="s">
        <v>48</v>
      </c>
    </row>
    <row r="6" customFormat="false" ht="27.75" hidden="false" customHeight="true" outlineLevel="0" collapsed="false">
      <c r="A6" s="10" t="n">
        <v>3</v>
      </c>
      <c r="B6" s="16" t="s">
        <v>49</v>
      </c>
      <c r="C6" s="17" t="s">
        <v>50</v>
      </c>
      <c r="D6" s="17" t="n">
        <v>0</v>
      </c>
      <c r="E6" s="17" t="n">
        <v>5</v>
      </c>
      <c r="F6" s="10" t="s">
        <v>51</v>
      </c>
      <c r="G6" s="18" t="s">
        <v>52</v>
      </c>
    </row>
    <row r="7" customFormat="false" ht="27.75" hidden="false" customHeight="true" outlineLevel="0" collapsed="false">
      <c r="A7" s="10" t="n">
        <v>4</v>
      </c>
      <c r="B7" s="16" t="s">
        <v>53</v>
      </c>
      <c r="C7" s="17" t="s">
        <v>43</v>
      </c>
      <c r="D7" s="17" t="n">
        <v>0.5</v>
      </c>
      <c r="E7" s="17" t="n">
        <v>10</v>
      </c>
      <c r="F7" s="10" t="s">
        <v>54</v>
      </c>
      <c r="G7" s="18" t="s">
        <v>55</v>
      </c>
    </row>
    <row r="8" customFormat="false" ht="27.75" hidden="false" customHeight="true" outlineLevel="0" collapsed="false">
      <c r="A8" s="10" t="n">
        <v>5</v>
      </c>
      <c r="B8" s="16" t="s">
        <v>56</v>
      </c>
      <c r="C8" s="17" t="s">
        <v>43</v>
      </c>
      <c r="D8" s="17" t="n">
        <v>1</v>
      </c>
      <c r="E8" s="17" t="n">
        <v>10</v>
      </c>
      <c r="F8" s="10" t="s">
        <v>57</v>
      </c>
      <c r="G8" s="18" t="s">
        <v>58</v>
      </c>
    </row>
    <row r="9" customFormat="false" ht="27.75" hidden="false" customHeight="true" outlineLevel="0" collapsed="false">
      <c r="A9" s="10" t="n">
        <v>6</v>
      </c>
      <c r="B9" s="16" t="s">
        <v>59</v>
      </c>
      <c r="C9" s="17" t="s">
        <v>50</v>
      </c>
      <c r="D9" s="17" t="n">
        <v>0</v>
      </c>
      <c r="E9" s="17" t="n">
        <v>10</v>
      </c>
      <c r="F9" s="10" t="s">
        <v>60</v>
      </c>
      <c r="G9" s="18" t="s">
        <v>61</v>
      </c>
    </row>
    <row r="10" customFormat="false" ht="27.75" hidden="false" customHeight="true" outlineLevel="0" collapsed="false">
      <c r="A10" s="10" t="n">
        <v>7</v>
      </c>
      <c r="B10" s="16" t="s">
        <v>62</v>
      </c>
      <c r="C10" s="17" t="s">
        <v>50</v>
      </c>
      <c r="D10" s="17" t="n">
        <v>0</v>
      </c>
      <c r="E10" s="17" t="n">
        <v>10</v>
      </c>
      <c r="F10" s="10" t="s">
        <v>60</v>
      </c>
      <c r="G10" s="18" t="s">
        <v>63</v>
      </c>
    </row>
    <row r="11" customFormat="false" ht="27.75" hidden="false" customHeight="true" outlineLevel="0" collapsed="false">
      <c r="A11" s="10" t="n">
        <v>8</v>
      </c>
      <c r="B11" s="16" t="s">
        <v>64</v>
      </c>
      <c r="C11" s="17" t="s">
        <v>43</v>
      </c>
      <c r="D11" s="17" t="n">
        <v>1</v>
      </c>
      <c r="E11" s="17" t="n">
        <v>5</v>
      </c>
      <c r="F11" s="10" t="s">
        <v>65</v>
      </c>
      <c r="G11" s="18" t="s">
        <v>66</v>
      </c>
    </row>
    <row r="12" customFormat="false" ht="27.75" hidden="false" customHeight="true" outlineLevel="0" collapsed="false">
      <c r="A12" s="10" t="n">
        <v>9</v>
      </c>
      <c r="B12" s="16" t="s">
        <v>67</v>
      </c>
      <c r="C12" s="17" t="s">
        <v>43</v>
      </c>
      <c r="D12" s="17" t="n">
        <v>1</v>
      </c>
      <c r="E12" s="17" t="n">
        <v>5</v>
      </c>
      <c r="F12" s="10" t="s">
        <v>65</v>
      </c>
      <c r="G12" s="18" t="s">
        <v>68</v>
      </c>
    </row>
    <row r="13" customFormat="false" ht="27.75" hidden="false" customHeight="true" outlineLevel="0" collapsed="false">
      <c r="A13" s="10" t="n">
        <v>10</v>
      </c>
      <c r="B13" s="16" t="s">
        <v>69</v>
      </c>
      <c r="C13" s="17" t="s">
        <v>43</v>
      </c>
      <c r="D13" s="17" t="n">
        <v>1</v>
      </c>
      <c r="E13" s="17" t="n">
        <v>5</v>
      </c>
      <c r="F13" s="10" t="s">
        <v>70</v>
      </c>
      <c r="G13" s="18" t="s">
        <v>71</v>
      </c>
    </row>
    <row r="14" customFormat="false" ht="27.75" hidden="false" customHeight="true" outlineLevel="0" collapsed="false">
      <c r="A14" s="10" t="n">
        <v>11</v>
      </c>
      <c r="B14" s="16" t="s">
        <v>72</v>
      </c>
      <c r="C14" s="17" t="s">
        <v>43</v>
      </c>
      <c r="D14" s="17" t="n">
        <v>1</v>
      </c>
      <c r="E14" s="17" t="n">
        <v>5</v>
      </c>
      <c r="F14" s="10" t="s">
        <v>73</v>
      </c>
      <c r="G14" s="18" t="s">
        <v>74</v>
      </c>
    </row>
    <row r="15" customFormat="false" ht="27.75" hidden="false" customHeight="true" outlineLevel="0" collapsed="false">
      <c r="A15" s="10" t="n">
        <v>12</v>
      </c>
      <c r="B15" s="16" t="s">
        <v>75</v>
      </c>
      <c r="C15" s="17" t="s">
        <v>76</v>
      </c>
      <c r="D15" s="17" t="n">
        <v>0</v>
      </c>
      <c r="E15" s="17" t="n">
        <v>5</v>
      </c>
      <c r="F15" s="10" t="s">
        <v>77</v>
      </c>
      <c r="G15" s="18" t="s">
        <v>78</v>
      </c>
    </row>
    <row r="16" customFormat="false" ht="15" hidden="false" customHeight="false" outlineLevel="0" collapsed="false">
      <c r="B16" s="19" t="s">
        <v>79</v>
      </c>
      <c r="E16" s="20" t="n">
        <f aca="false">SUM(E4:E15)</f>
        <v>100</v>
      </c>
      <c r="F16" s="11" t="str">
        <f aca="false">IF(E16=100,"✔ Doğru — toplam 100","✘ HATA: toplam 100 olmalı, şu an "&amp;E16)</f>
        <v>✔ Doğru — toplam 100</v>
      </c>
    </row>
    <row r="18" customFormat="false" ht="15" hidden="false" customHeight="false" outlineLevel="0" collapsed="false">
      <c r="B18" s="8" t="s">
        <v>80</v>
      </c>
    </row>
    <row r="19" customFormat="false" ht="33.75" hidden="false" customHeight="true" outlineLevel="0" collapsed="false">
      <c r="A19" s="9"/>
      <c r="B19" s="9" t="s">
        <v>81</v>
      </c>
      <c r="C19" s="9" t="s">
        <v>82</v>
      </c>
      <c r="D19" s="9" t="s">
        <v>83</v>
      </c>
      <c r="E19" s="9"/>
      <c r="F19" s="9"/>
      <c r="G19" s="9"/>
    </row>
    <row r="20" customFormat="false" ht="68.65" hidden="false" customHeight="false" outlineLevel="0" collapsed="false">
      <c r="A20" s="10"/>
      <c r="B20" s="11" t="s">
        <v>43</v>
      </c>
      <c r="C20" s="10" t="s">
        <v>84</v>
      </c>
      <c r="D20" s="10" t="s">
        <v>85</v>
      </c>
      <c r="E20" s="10"/>
      <c r="F20" s="10"/>
      <c r="G20" s="10"/>
    </row>
    <row r="21" customFormat="false" ht="68.65" hidden="false" customHeight="false" outlineLevel="0" collapsed="false">
      <c r="A21" s="10"/>
      <c r="B21" s="11" t="s">
        <v>50</v>
      </c>
      <c r="C21" s="10" t="s">
        <v>86</v>
      </c>
      <c r="D21" s="10" t="s">
        <v>87</v>
      </c>
      <c r="E21" s="10"/>
      <c r="F21" s="10"/>
      <c r="G21" s="10"/>
    </row>
    <row r="22" customFormat="false" ht="57.45" hidden="false" customHeight="false" outlineLevel="0" collapsed="false">
      <c r="A22" s="10"/>
      <c r="B22" s="11" t="s">
        <v>76</v>
      </c>
      <c r="C22" s="10" t="s">
        <v>88</v>
      </c>
      <c r="D22" s="10" t="s">
        <v>89</v>
      </c>
      <c r="E22" s="10"/>
      <c r="F22" s="10"/>
      <c r="G22" s="10"/>
    </row>
    <row r="25" customFormat="false" ht="15" hidden="false" customHeight="false" outlineLevel="0" collapsed="false">
      <c r="B25" s="8" t="s">
        <v>90</v>
      </c>
    </row>
    <row r="26" customFormat="false" ht="33.75" hidden="false" customHeight="true" outlineLevel="0" collapsed="false">
      <c r="A26" s="9"/>
      <c r="B26" s="9" t="s">
        <v>91</v>
      </c>
      <c r="C26" s="9" t="s">
        <v>92</v>
      </c>
      <c r="D26" s="9" t="s">
        <v>93</v>
      </c>
      <c r="E26" s="9" t="s">
        <v>94</v>
      </c>
      <c r="F26" s="9"/>
      <c r="G26" s="9"/>
    </row>
    <row r="27" customFormat="false" ht="57.45" hidden="false" customHeight="false" outlineLevel="0" collapsed="false">
      <c r="A27" s="10"/>
      <c r="B27" s="11" t="s">
        <v>95</v>
      </c>
      <c r="C27" s="21" t="n">
        <v>65</v>
      </c>
      <c r="D27" s="10" t="s">
        <v>96</v>
      </c>
      <c r="E27" s="10" t="s">
        <v>97</v>
      </c>
    </row>
    <row r="28" customFormat="false" ht="46.25" hidden="false" customHeight="false" outlineLevel="0" collapsed="false">
      <c r="A28" s="10"/>
      <c r="B28" s="11" t="s">
        <v>98</v>
      </c>
      <c r="C28" s="21" t="n">
        <v>50</v>
      </c>
      <c r="D28" s="10" t="s">
        <v>99</v>
      </c>
      <c r="E28" s="10" t="s">
        <v>100</v>
      </c>
    </row>
    <row r="29" customFormat="false" ht="46.25" hidden="false" customHeight="false" outlineLevel="0" collapsed="false">
      <c r="A29" s="10"/>
      <c r="B29" s="11" t="s">
        <v>101</v>
      </c>
      <c r="C29" s="21" t="n">
        <v>35</v>
      </c>
      <c r="D29" s="10" t="s">
        <v>102</v>
      </c>
      <c r="E29" s="10" t="s">
        <v>103</v>
      </c>
    </row>
    <row r="30" customFormat="false" ht="79.85" hidden="false" customHeight="false" outlineLevel="0" collapsed="false">
      <c r="A30" s="10"/>
      <c r="B30" s="11" t="s">
        <v>104</v>
      </c>
      <c r="C30" s="21" t="n">
        <v>0</v>
      </c>
      <c r="D30" s="10" t="s">
        <v>105</v>
      </c>
      <c r="E30" s="10" t="s">
        <v>106</v>
      </c>
    </row>
    <row r="32" customFormat="false" ht="49.5" hidden="false" customHeight="true" outlineLevel="0" collapsed="false">
      <c r="A32" s="15" t="s">
        <v>107</v>
      </c>
      <c r="B32" s="15"/>
      <c r="C32" s="15"/>
      <c r="D32" s="15"/>
      <c r="E32" s="15"/>
      <c r="F32" s="15"/>
      <c r="G32" s="15"/>
    </row>
  </sheetData>
  <mergeCells count="2">
    <mergeCell ref="A1:G1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7"/>
  </cols>
  <sheetData>
    <row r="1" customFormat="false" ht="25.5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3" t="s">
        <v>109</v>
      </c>
      <c r="B2" s="13"/>
      <c r="C2" s="13"/>
      <c r="D2" s="13"/>
      <c r="E2" s="13"/>
      <c r="F2" s="13"/>
      <c r="G2" s="13"/>
      <c r="H2" s="13"/>
    </row>
    <row r="3" customFormat="false" ht="33.75" hidden="false" customHeight="true" outlineLevel="0" collapsed="false">
      <c r="A3" s="9" t="s">
        <v>35</v>
      </c>
      <c r="B3" s="9" t="s">
        <v>110</v>
      </c>
      <c r="C3" s="9" t="s">
        <v>111</v>
      </c>
      <c r="D3" s="9" t="s">
        <v>112</v>
      </c>
      <c r="E3" s="9" t="s">
        <v>113</v>
      </c>
      <c r="F3" s="9" t="s">
        <v>114</v>
      </c>
      <c r="G3" s="9" t="s">
        <v>115</v>
      </c>
      <c r="H3" s="9" t="s">
        <v>116</v>
      </c>
    </row>
    <row r="4" customFormat="false" ht="45.75" hidden="false" customHeight="true" outlineLevel="0" collapsed="false">
      <c r="A4" s="10" t="n">
        <v>1</v>
      </c>
      <c r="B4" s="10" t="str">
        <f aca="false">'1 AYAR'!B4</f>
        <v>İlçe Yönetim Kurulu kişi sayısı</v>
      </c>
      <c r="C4" s="10" t="s">
        <v>117</v>
      </c>
      <c r="D4" s="22" t="s">
        <v>45</v>
      </c>
      <c r="E4" s="10" t="s">
        <v>118</v>
      </c>
      <c r="F4" s="23" t="s">
        <v>119</v>
      </c>
      <c r="G4" s="10" t="s">
        <v>120</v>
      </c>
      <c r="H4" s="24" t="n">
        <v>20</v>
      </c>
    </row>
    <row r="5" customFormat="false" ht="45.75" hidden="false" customHeight="true" outlineLevel="0" collapsed="false">
      <c r="A5" s="10" t="n">
        <v>2</v>
      </c>
      <c r="B5" s="10" t="str">
        <f aca="false">'1 AYAR'!B5</f>
        <v>Aylık yapılan YK toplantı sayısı</v>
      </c>
      <c r="C5" s="10" t="s">
        <v>121</v>
      </c>
      <c r="D5" s="22" t="s">
        <v>48</v>
      </c>
      <c r="E5" s="10" t="s">
        <v>118</v>
      </c>
      <c r="F5" s="23" t="s">
        <v>122</v>
      </c>
      <c r="G5" s="10" t="s">
        <v>123</v>
      </c>
      <c r="H5" s="24" t="n">
        <v>10</v>
      </c>
    </row>
    <row r="6" customFormat="false" ht="45.75" hidden="false" customHeight="true" outlineLevel="0" collapsed="false">
      <c r="A6" s="10" t="n">
        <v>3</v>
      </c>
      <c r="B6" s="10" t="str">
        <f aca="false">'1 AYAR'!B6</f>
        <v>İlçenin kendine ait temsilcilik merkezi var mı?</v>
      </c>
      <c r="C6" s="10" t="s">
        <v>124</v>
      </c>
      <c r="D6" s="22" t="s">
        <v>52</v>
      </c>
      <c r="E6" s="10" t="s">
        <v>125</v>
      </c>
      <c r="F6" s="23" t="s">
        <v>126</v>
      </c>
      <c r="G6" s="10" t="s">
        <v>127</v>
      </c>
      <c r="H6" s="24" t="n">
        <v>5</v>
      </c>
    </row>
    <row r="7" customFormat="false" ht="45.75" hidden="false" customHeight="true" outlineLevel="0" collapsed="false">
      <c r="A7" s="10" t="n">
        <v>4</v>
      </c>
      <c r="B7" s="10" t="str">
        <f aca="false">'1 AYAR'!B7</f>
        <v>Yed-i Hilal Meclisi kişi sayısı</v>
      </c>
      <c r="C7" s="10" t="s">
        <v>128</v>
      </c>
      <c r="D7" s="22" t="s">
        <v>55</v>
      </c>
      <c r="E7" s="10" t="s">
        <v>118</v>
      </c>
      <c r="F7" s="23" t="s">
        <v>129</v>
      </c>
      <c r="G7" s="10" t="s">
        <v>130</v>
      </c>
      <c r="H7" s="24" t="n">
        <v>10</v>
      </c>
    </row>
    <row r="8" customFormat="false" ht="45.75" hidden="false" customHeight="true" outlineLevel="0" collapsed="false">
      <c r="A8" s="10" t="n">
        <v>5</v>
      </c>
      <c r="B8" s="10" t="str">
        <f aca="false">'1 AYAR'!B8</f>
        <v>Yeni gönüllü çalışması katılım sayısı</v>
      </c>
      <c r="C8" s="10" t="s">
        <v>131</v>
      </c>
      <c r="D8" s="22" t="s">
        <v>58</v>
      </c>
      <c r="E8" s="10" t="s">
        <v>118</v>
      </c>
      <c r="F8" s="23" t="s">
        <v>132</v>
      </c>
      <c r="G8" s="10" t="s">
        <v>133</v>
      </c>
      <c r="H8" s="24" t="n">
        <v>10</v>
      </c>
    </row>
    <row r="9" customFormat="false" ht="45.75" hidden="false" customHeight="true" outlineLevel="0" collapsed="false">
      <c r="A9" s="10" t="n">
        <v>6</v>
      </c>
      <c r="B9" s="10" t="str">
        <f aca="false">'1 AYAR'!B9</f>
        <v>«Yatsıya Kadar» programı yapıldı mı?</v>
      </c>
      <c r="C9" s="10" t="s">
        <v>134</v>
      </c>
      <c r="D9" s="22" t="s">
        <v>61</v>
      </c>
      <c r="E9" s="10" t="s">
        <v>125</v>
      </c>
      <c r="F9" s="23" t="s">
        <v>135</v>
      </c>
      <c r="G9" s="10" t="s">
        <v>136</v>
      </c>
      <c r="H9" s="24" t="n">
        <v>10</v>
      </c>
    </row>
    <row r="10" customFormat="false" ht="45.75" hidden="false" customHeight="true" outlineLevel="0" collapsed="false">
      <c r="A10" s="10" t="n">
        <v>7</v>
      </c>
      <c r="B10" s="10" t="str">
        <f aca="false">'1 AYAR'!B10</f>
        <v>Sabah Namazı Buluşması yapıldı mı?</v>
      </c>
      <c r="C10" s="10" t="s">
        <v>137</v>
      </c>
      <c r="D10" s="22" t="s">
        <v>63</v>
      </c>
      <c r="E10" s="10" t="s">
        <v>125</v>
      </c>
      <c r="F10" s="23" t="s">
        <v>135</v>
      </c>
      <c r="G10" s="10" t="s">
        <v>138</v>
      </c>
      <c r="H10" s="24" t="n">
        <v>10</v>
      </c>
    </row>
    <row r="11" customFormat="false" ht="45.75" hidden="false" customHeight="true" outlineLevel="0" collapsed="false">
      <c r="A11" s="10" t="n">
        <v>8</v>
      </c>
      <c r="B11" s="10" t="str">
        <f aca="false">'1 AYAR'!B11</f>
        <v>Ortaokul ziyareti (kaç okula?)</v>
      </c>
      <c r="C11" s="10" t="s">
        <v>139</v>
      </c>
      <c r="D11" s="22" t="s">
        <v>66</v>
      </c>
      <c r="E11" s="10" t="s">
        <v>118</v>
      </c>
      <c r="F11" s="23" t="s">
        <v>140</v>
      </c>
      <c r="G11" s="10" t="s">
        <v>141</v>
      </c>
      <c r="H11" s="24" t="n">
        <v>5</v>
      </c>
    </row>
    <row r="12" customFormat="false" ht="45.75" hidden="false" customHeight="true" outlineLevel="0" collapsed="false">
      <c r="A12" s="10" t="n">
        <v>9</v>
      </c>
      <c r="B12" s="10" t="str">
        <f aca="false">'1 AYAR'!B12</f>
        <v>Lise ziyareti (kaç okula?)</v>
      </c>
      <c r="C12" s="10" t="s">
        <v>142</v>
      </c>
      <c r="D12" s="22" t="s">
        <v>68</v>
      </c>
      <c r="E12" s="10" t="s">
        <v>118</v>
      </c>
      <c r="F12" s="23" t="s">
        <v>140</v>
      </c>
      <c r="G12" s="10" t="s">
        <v>143</v>
      </c>
      <c r="H12" s="24" t="n">
        <v>5</v>
      </c>
    </row>
    <row r="13" customFormat="false" ht="45.75" hidden="false" customHeight="true" outlineLevel="0" collapsed="false">
      <c r="A13" s="10" t="n">
        <v>10</v>
      </c>
      <c r="B13" s="10" t="str">
        <f aca="false">'1 AYAR'!B13</f>
        <v>Bağışçı ziyareti (kaç ziyaret?)</v>
      </c>
      <c r="C13" s="10" t="s">
        <v>144</v>
      </c>
      <c r="D13" s="22" t="s">
        <v>71</v>
      </c>
      <c r="E13" s="10" t="s">
        <v>118</v>
      </c>
      <c r="F13" s="23" t="s">
        <v>140</v>
      </c>
      <c r="G13" s="10" t="s">
        <v>145</v>
      </c>
      <c r="H13" s="24" t="n">
        <v>5</v>
      </c>
    </row>
    <row r="14" customFormat="false" ht="45.75" hidden="false" customHeight="true" outlineLevel="0" collapsed="false">
      <c r="A14" s="10" t="n">
        <v>11</v>
      </c>
      <c r="B14" s="10" t="str">
        <f aca="false">'1 AYAR'!B14</f>
        <v>Kurumsal ziyaret (kaç kurum?)</v>
      </c>
      <c r="C14" s="10" t="s">
        <v>146</v>
      </c>
      <c r="D14" s="22" t="s">
        <v>74</v>
      </c>
      <c r="E14" s="10" t="s">
        <v>118</v>
      </c>
      <c r="F14" s="23" t="s">
        <v>140</v>
      </c>
      <c r="G14" s="10" t="s">
        <v>147</v>
      </c>
      <c r="H14" s="24" t="n">
        <v>5</v>
      </c>
    </row>
    <row r="15" customFormat="false" ht="45.75" hidden="false" customHeight="true" outlineLevel="0" collapsed="false">
      <c r="A15" s="10" t="n">
        <v>12</v>
      </c>
      <c r="B15" s="10" t="str">
        <f aca="false">'1 AYAR'!B15</f>
        <v>İlçeye özgün çalışma (nerede, ne zaman, ne yapıldı?)</v>
      </c>
      <c r="C15" s="10" t="s">
        <v>148</v>
      </c>
      <c r="D15" s="22" t="s">
        <v>78</v>
      </c>
      <c r="E15" s="10" t="s">
        <v>149</v>
      </c>
      <c r="F15" s="23" t="s">
        <v>150</v>
      </c>
      <c r="G15" s="10" t="s">
        <v>151</v>
      </c>
      <c r="H15" s="24" t="n">
        <v>5</v>
      </c>
    </row>
    <row r="17" customFormat="false" ht="15" hidden="false" customHeight="false" outlineLevel="0" collapsed="false">
      <c r="B17" s="8" t="s">
        <v>152</v>
      </c>
    </row>
    <row r="18" customFormat="false" ht="33.75" hidden="false" customHeight="true" outlineLevel="0" collapsed="false">
      <c r="A18" s="9" t="s">
        <v>35</v>
      </c>
      <c r="B18" s="9" t="s">
        <v>153</v>
      </c>
      <c r="C18" s="9" t="s">
        <v>154</v>
      </c>
      <c r="D18" s="9" t="s">
        <v>155</v>
      </c>
      <c r="E18" s="9"/>
      <c r="F18" s="9"/>
      <c r="G18" s="9"/>
      <c r="H18" s="9"/>
    </row>
    <row r="19" customFormat="false" ht="35.05" hidden="false" customHeight="false" outlineLevel="0" collapsed="false">
      <c r="A19" s="10" t="n">
        <v>1</v>
      </c>
      <c r="B19" s="11" t="s">
        <v>156</v>
      </c>
      <c r="C19" s="10" t="s">
        <v>157</v>
      </c>
      <c r="D19" s="10" t="s">
        <v>158</v>
      </c>
      <c r="E19" s="10"/>
      <c r="F19" s="10"/>
      <c r="G19" s="10"/>
      <c r="H19" s="10"/>
    </row>
    <row r="20" customFormat="false" ht="23.85" hidden="false" customHeight="false" outlineLevel="0" collapsed="false">
      <c r="A20" s="10" t="n">
        <v>2</v>
      </c>
      <c r="B20" s="11" t="s">
        <v>159</v>
      </c>
      <c r="C20" s="10" t="s">
        <v>160</v>
      </c>
      <c r="D20" s="10" t="s">
        <v>161</v>
      </c>
      <c r="E20" s="10"/>
      <c r="F20" s="10"/>
      <c r="G20" s="10"/>
      <c r="H20" s="10"/>
    </row>
    <row r="21" customFormat="false" ht="23.85" hidden="false" customHeight="false" outlineLevel="0" collapsed="false">
      <c r="A21" s="10" t="n">
        <v>3</v>
      </c>
      <c r="B21" s="11" t="s">
        <v>162</v>
      </c>
      <c r="C21" s="10" t="s">
        <v>163</v>
      </c>
      <c r="D21" s="10" t="s">
        <v>164</v>
      </c>
      <c r="E21" s="10"/>
      <c r="F21" s="10"/>
      <c r="G21" s="10"/>
      <c r="H21" s="10"/>
    </row>
    <row r="22" customFormat="false" ht="23.85" hidden="false" customHeight="false" outlineLevel="0" collapsed="false">
      <c r="A22" s="10" t="n">
        <v>4</v>
      </c>
      <c r="B22" s="11" t="s">
        <v>165</v>
      </c>
      <c r="C22" s="10" t="s">
        <v>166</v>
      </c>
      <c r="D22" s="10" t="s">
        <v>158</v>
      </c>
      <c r="E22" s="10"/>
      <c r="F22" s="10"/>
      <c r="G22" s="10"/>
      <c r="H22" s="10"/>
    </row>
    <row r="23" customFormat="false" ht="23.85" hidden="false" customHeight="false" outlineLevel="0" collapsed="false">
      <c r="A23" s="10" t="n">
        <v>5</v>
      </c>
      <c r="B23" s="11" t="s">
        <v>167</v>
      </c>
      <c r="C23" s="10" t="s">
        <v>168</v>
      </c>
      <c r="D23" s="10" t="s">
        <v>158</v>
      </c>
      <c r="E23" s="10"/>
      <c r="F23" s="10"/>
      <c r="G23" s="10"/>
      <c r="H23" s="10"/>
    </row>
    <row r="24" customFormat="false" ht="23.85" hidden="false" customHeight="false" outlineLevel="0" collapsed="false">
      <c r="A24" s="10" t="n">
        <v>6</v>
      </c>
      <c r="B24" s="11" t="s">
        <v>169</v>
      </c>
      <c r="C24" s="10" t="s">
        <v>170</v>
      </c>
      <c r="D24" s="10" t="s">
        <v>158</v>
      </c>
      <c r="E24" s="10"/>
      <c r="F24" s="10"/>
      <c r="G24" s="10"/>
      <c r="H24" s="10"/>
    </row>
    <row r="25" customFormat="false" ht="23.85" hidden="false" customHeight="false" outlineLevel="0" collapsed="false">
      <c r="A25" s="10" t="n">
        <v>7</v>
      </c>
      <c r="B25" s="11" t="s">
        <v>171</v>
      </c>
      <c r="C25" s="10" t="s">
        <v>172</v>
      </c>
      <c r="D25" s="10" t="s">
        <v>161</v>
      </c>
      <c r="E25" s="10"/>
      <c r="F25" s="10"/>
      <c r="G25" s="10"/>
      <c r="H25" s="10"/>
    </row>
    <row r="27" customFormat="false" ht="15" hidden="false" customHeight="false" outlineLevel="0" collapsed="false">
      <c r="B27" s="8" t="s">
        <v>173</v>
      </c>
    </row>
    <row r="28" customFormat="false" ht="19.5" hidden="false" customHeight="true" outlineLevel="0" collapsed="false">
      <c r="B28" s="25" t="s">
        <v>174</v>
      </c>
      <c r="C28" s="25"/>
      <c r="D28" s="25"/>
      <c r="E28" s="25"/>
      <c r="F28" s="25"/>
      <c r="G28" s="25"/>
      <c r="H28" s="25"/>
    </row>
    <row r="29" customFormat="false" ht="19.5" hidden="false" customHeight="true" outlineLevel="0" collapsed="false">
      <c r="B29" s="25" t="s">
        <v>175</v>
      </c>
      <c r="C29" s="25"/>
      <c r="D29" s="25"/>
      <c r="E29" s="25"/>
      <c r="F29" s="25"/>
      <c r="G29" s="25"/>
      <c r="H29" s="25"/>
    </row>
    <row r="30" customFormat="false" ht="19.5" hidden="false" customHeight="true" outlineLevel="0" collapsed="false">
      <c r="B30" s="25" t="s">
        <v>176</v>
      </c>
      <c r="C30" s="25"/>
      <c r="D30" s="25"/>
      <c r="E30" s="25"/>
      <c r="F30" s="25"/>
      <c r="G30" s="25"/>
      <c r="H30" s="25"/>
    </row>
    <row r="31" customFormat="false" ht="19.5" hidden="false" customHeight="true" outlineLevel="0" collapsed="false">
      <c r="B31" s="25" t="s">
        <v>177</v>
      </c>
      <c r="C31" s="25"/>
      <c r="D31" s="25"/>
      <c r="E31" s="25"/>
      <c r="F31" s="25"/>
      <c r="G31" s="25"/>
      <c r="H31" s="25"/>
    </row>
    <row r="32" customFormat="false" ht="19.5" hidden="false" customHeight="true" outlineLevel="0" collapsed="false">
      <c r="B32" s="25" t="s">
        <v>178</v>
      </c>
      <c r="C32" s="25"/>
      <c r="D32" s="25"/>
      <c r="E32" s="25"/>
      <c r="F32" s="25"/>
      <c r="G32" s="25"/>
      <c r="H32" s="25"/>
    </row>
    <row r="33" customFormat="false" ht="19.5" hidden="false" customHeight="true" outlineLevel="0" collapsed="false">
      <c r="B33" s="25" t="s">
        <v>179</v>
      </c>
      <c r="C33" s="25"/>
      <c r="D33" s="25"/>
      <c r="E33" s="25"/>
      <c r="F33" s="25"/>
      <c r="G33" s="25"/>
      <c r="H33" s="25"/>
    </row>
  </sheetData>
  <mergeCells count="8">
    <mergeCell ref="A1:H1"/>
    <mergeCell ref="A2:H2"/>
    <mergeCell ref="B28:H28"/>
    <mergeCell ref="B29:H29"/>
    <mergeCell ref="B30:H30"/>
    <mergeCell ref="B31:H31"/>
    <mergeCell ref="B32:H32"/>
    <mergeCell ref="B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7"/>
    <col collapsed="false" customWidth="true" hidden="false" outlineLevel="0" max="7" min="7" style="0" width="13"/>
    <col collapsed="false" customWidth="true" hidden="false" outlineLevel="0" max="8" min="8" style="0" width="7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13"/>
    <col collapsed="false" customWidth="true" hidden="false" outlineLevel="0" max="12" min="12" style="0" width="7"/>
    <col collapsed="false" customWidth="true" hidden="false" outlineLevel="0" max="13" min="13" style="0" width="13"/>
    <col collapsed="false" customWidth="true" hidden="false" outlineLevel="0" max="14" min="14" style="0" width="7"/>
    <col collapsed="false" customWidth="true" hidden="false" outlineLevel="0" max="15" min="15" style="0" width="13"/>
    <col collapsed="false" customWidth="true" hidden="false" outlineLevel="0" max="16" min="16" style="0" width="7"/>
    <col collapsed="false" customWidth="true" hidden="false" outlineLevel="0" max="17" min="17" style="0" width="13"/>
    <col collapsed="false" customWidth="true" hidden="false" outlineLevel="0" max="18" min="18" style="0" width="7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13"/>
    <col collapsed="false" customWidth="true" hidden="false" outlineLevel="0" max="22" min="22" style="0" width="7"/>
    <col collapsed="false" customWidth="true" hidden="false" outlineLevel="0" max="23" min="23" style="0" width="13"/>
    <col collapsed="false" customWidth="true" hidden="false" outlineLevel="0" max="24" min="24" style="0" width="7"/>
    <col collapsed="false" customWidth="true" hidden="false" outlineLevel="0" max="25" min="25" style="0" width="13"/>
    <col collapsed="false" customWidth="true" hidden="false" outlineLevel="0" max="26" min="26" style="0" width="7"/>
    <col collapsed="false" customWidth="true" hidden="false" outlineLevel="0" max="27" min="27" style="0" width="38"/>
    <col collapsed="false" customWidth="true" hidden="false" outlineLevel="0" max="28" min="28" style="0" width="7"/>
    <col collapsed="false" customWidth="true" hidden="false" outlineLevel="0" max="29" min="29" style="0" width="10"/>
    <col collapsed="false" customWidth="true" hidden="false" outlineLevel="0" max="30" min="30" style="0" width="8"/>
    <col collapsed="false" customWidth="true" hidden="false" outlineLevel="0" max="31" min="31" style="0" width="12"/>
    <col collapsed="false" customWidth="true" hidden="false" outlineLevel="0" max="32" min="32" style="0" width="18"/>
  </cols>
  <sheetData>
    <row r="1" customFormat="false" ht="25.5" hidden="false" customHeight="true" outlineLevel="0" collapsed="false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A2" s="26" t="s">
        <v>181</v>
      </c>
      <c r="C2" s="27" t="s">
        <v>182</v>
      </c>
      <c r="E2" s="28" t="s">
        <v>183</v>
      </c>
    </row>
    <row r="4" customFormat="false" ht="45.75" hidden="false" customHeight="true" outlineLevel="0" collapsed="false">
      <c r="A4" s="9" t="s">
        <v>184</v>
      </c>
      <c r="B4" s="9" t="s">
        <v>185</v>
      </c>
      <c r="C4" s="9" t="s">
        <v>186</v>
      </c>
      <c r="D4" s="9" t="s">
        <v>187</v>
      </c>
      <c r="E4" s="9" t="str">
        <f aca="false">'1 AYAR'!B4</f>
        <v>İlçe Yönetim Kurulu kişi sayısı</v>
      </c>
      <c r="F4" s="9"/>
      <c r="G4" s="9" t="str">
        <f aca="false">'1 AYAR'!B5</f>
        <v>Aylık yapılan YK toplantı sayısı</v>
      </c>
      <c r="H4" s="9"/>
      <c r="I4" s="9" t="str">
        <f aca="false">'1 AYAR'!B6</f>
        <v>İlçenin kendine ait temsilcilik merkezi var mı?</v>
      </c>
      <c r="J4" s="9"/>
      <c r="K4" s="9" t="str">
        <f aca="false">'1 AYAR'!B7</f>
        <v>Yed-i Hilal Meclisi kişi sayısı</v>
      </c>
      <c r="L4" s="9"/>
      <c r="M4" s="9" t="str">
        <f aca="false">'1 AYAR'!B8</f>
        <v>Yeni gönüllü çalışması katılım sayısı</v>
      </c>
      <c r="N4" s="9"/>
      <c r="O4" s="9" t="str">
        <f aca="false">'1 AYAR'!B9</f>
        <v>«Yatsıya Kadar» programı yapıldı mı?</v>
      </c>
      <c r="P4" s="9"/>
      <c r="Q4" s="9" t="str">
        <f aca="false">'1 AYAR'!B10</f>
        <v>Sabah Namazı Buluşması yapıldı mı?</v>
      </c>
      <c r="R4" s="9"/>
      <c r="S4" s="9" t="str">
        <f aca="false">'1 AYAR'!B11</f>
        <v>Ortaokul ziyareti (kaç okula?)</v>
      </c>
      <c r="T4" s="9"/>
      <c r="U4" s="9" t="str">
        <f aca="false">'1 AYAR'!B12</f>
        <v>Lise ziyareti (kaç okula?)</v>
      </c>
      <c r="V4" s="9"/>
      <c r="W4" s="9" t="str">
        <f aca="false">'1 AYAR'!B13</f>
        <v>Bağışçı ziyareti (kaç ziyaret?)</v>
      </c>
      <c r="X4" s="9"/>
      <c r="Y4" s="9" t="str">
        <f aca="false">'1 AYAR'!B14</f>
        <v>Kurumsal ziyaret (kaç kurum?)</v>
      </c>
      <c r="Z4" s="9"/>
      <c r="AA4" s="9" t="str">
        <f aca="false">'1 AYAR'!B15</f>
        <v>İlçeye özgün çalışma (nerede, ne zaman, ne yapıldı?)</v>
      </c>
      <c r="AB4" s="9"/>
      <c r="AC4" s="9" t="s">
        <v>188</v>
      </c>
      <c r="AD4" s="9" t="s">
        <v>189</v>
      </c>
      <c r="AE4" s="9" t="s">
        <v>190</v>
      </c>
      <c r="AF4" s="9" t="s">
        <v>191</v>
      </c>
    </row>
    <row r="5" customFormat="false" ht="15" hidden="false" customHeight="false" outlineLevel="0" collapsed="false">
      <c r="A5" s="9"/>
      <c r="B5" s="9"/>
      <c r="C5" s="9"/>
      <c r="D5" s="9"/>
      <c r="E5" s="29" t="s">
        <v>192</v>
      </c>
      <c r="F5" s="30" t="s">
        <v>193</v>
      </c>
      <c r="G5" s="29" t="s">
        <v>192</v>
      </c>
      <c r="H5" s="30" t="s">
        <v>193</v>
      </c>
      <c r="I5" s="29" t="s">
        <v>192</v>
      </c>
      <c r="J5" s="30" t="s">
        <v>193</v>
      </c>
      <c r="K5" s="29" t="s">
        <v>192</v>
      </c>
      <c r="L5" s="30" t="s">
        <v>193</v>
      </c>
      <c r="M5" s="29" t="s">
        <v>192</v>
      </c>
      <c r="N5" s="30" t="s">
        <v>193</v>
      </c>
      <c r="O5" s="29" t="s">
        <v>192</v>
      </c>
      <c r="P5" s="30" t="s">
        <v>193</v>
      </c>
      <c r="Q5" s="29" t="s">
        <v>192</v>
      </c>
      <c r="R5" s="30" t="s">
        <v>193</v>
      </c>
      <c r="S5" s="29" t="s">
        <v>192</v>
      </c>
      <c r="T5" s="30" t="s">
        <v>193</v>
      </c>
      <c r="U5" s="29" t="s">
        <v>192</v>
      </c>
      <c r="V5" s="30" t="s">
        <v>193</v>
      </c>
      <c r="W5" s="29" t="s">
        <v>192</v>
      </c>
      <c r="X5" s="30" t="s">
        <v>193</v>
      </c>
      <c r="Y5" s="29" t="s">
        <v>192</v>
      </c>
      <c r="Z5" s="30" t="s">
        <v>193</v>
      </c>
      <c r="AA5" s="29" t="s">
        <v>192</v>
      </c>
      <c r="AB5" s="30" t="s">
        <v>193</v>
      </c>
      <c r="AC5" s="9"/>
      <c r="AD5" s="9"/>
      <c r="AE5" s="9"/>
      <c r="AF5" s="9"/>
    </row>
    <row r="6" customFormat="false" ht="15" hidden="false" customHeight="false" outlineLevel="0" collapsed="false">
      <c r="A6" s="24" t="str">
        <f aca="false">IF($D6&lt;&gt;"Evet","",RANK(AC6,$AC$6:$AC$44,0))</f>
        <v/>
      </c>
      <c r="B6" s="31" t="s">
        <v>194</v>
      </c>
      <c r="C6" s="32" t="s">
        <v>195</v>
      </c>
      <c r="D6" s="33" t="s">
        <v>196</v>
      </c>
      <c r="E6" s="34"/>
      <c r="F6" s="35" t="str">
        <f aca="false">IF($D6&lt;&gt;"Evet","",IF('1 AYAR'!$C$4="Sayı",MIN(E6*'1 AYAR'!$D$4,'1 AYAR'!$E$4),IF('1 AYAR'!$C$4="Evet/Hayır",IF(OR(E6="Var",E6="Yapıldı",E6="Evet"),'1 AYAR'!$E$4,0),IF(LEN(E6)&gt;3,'1 AYAR'!$E$4,0))))</f>
        <v/>
      </c>
      <c r="G6" s="34"/>
      <c r="H6" s="35" t="str">
        <f aca="false">IF($D6&lt;&gt;"Evet","",IF('1 AYAR'!$C$5="Sayı",MIN(G6*'1 AYAR'!$D$5,'1 AYAR'!$E$5),IF('1 AYAR'!$C$5="Evet/Hayır",IF(OR(G6="Var",G6="Yapıldı",G6="Evet"),'1 AYAR'!$E$5,0),IF(LEN(G6)&gt;3,'1 AYAR'!$E$5,0))))</f>
        <v/>
      </c>
      <c r="I6" s="34"/>
      <c r="J6" s="35" t="str">
        <f aca="false">IF($D6&lt;&gt;"Evet","",IF('1 AYAR'!$C$6="Sayı",MIN(I6*'1 AYAR'!$D$6,'1 AYAR'!$E$6),IF('1 AYAR'!$C$6="Evet/Hayır",IF(OR(I6="Var",I6="Yapıldı",I6="Evet"),'1 AYAR'!$E$6,0),IF(LEN(I6)&gt;3,'1 AYAR'!$E$6,0))))</f>
        <v/>
      </c>
      <c r="K6" s="34"/>
      <c r="L6" s="35" t="str">
        <f aca="false">IF($D6&lt;&gt;"Evet","",IF('1 AYAR'!$C$7="Sayı",MIN(K6*'1 AYAR'!$D$7,'1 AYAR'!$E$7),IF('1 AYAR'!$C$7="Evet/Hayır",IF(OR(K6="Var",K6="Yapıldı",K6="Evet"),'1 AYAR'!$E$7,0),IF(LEN(K6)&gt;3,'1 AYAR'!$E$7,0))))</f>
        <v/>
      </c>
      <c r="M6" s="34"/>
      <c r="N6" s="35" t="str">
        <f aca="false">IF($D6&lt;&gt;"Evet","",IF('1 AYAR'!$C$8="Sayı",MIN(M6*'1 AYAR'!$D$8,'1 AYAR'!$E$8),IF('1 AYAR'!$C$8="Evet/Hayır",IF(OR(M6="Var",M6="Yapıldı",M6="Evet"),'1 AYAR'!$E$8,0),IF(LEN(M6)&gt;3,'1 AYAR'!$E$8,0))))</f>
        <v/>
      </c>
      <c r="O6" s="34"/>
      <c r="P6" s="35" t="str">
        <f aca="false">IF($D6&lt;&gt;"Evet","",IF('1 AYAR'!$C$9="Sayı",MIN(O6*'1 AYAR'!$D$9,'1 AYAR'!$E$9),IF('1 AYAR'!$C$9="Evet/Hayır",IF(OR(O6="Var",O6="Yapıldı",O6="Evet"),'1 AYAR'!$E$9,0),IF(LEN(O6)&gt;3,'1 AYAR'!$E$9,0))))</f>
        <v/>
      </c>
      <c r="Q6" s="34"/>
      <c r="R6" s="35" t="str">
        <f aca="false">IF($D6&lt;&gt;"Evet","",IF('1 AYAR'!$C$10="Sayı",MIN(Q6*'1 AYAR'!$D$10,'1 AYAR'!$E$10),IF('1 AYAR'!$C$10="Evet/Hayır",IF(OR(Q6="Var",Q6="Yapıldı",Q6="Evet"),'1 AYAR'!$E$10,0),IF(LEN(Q6)&gt;3,'1 AYAR'!$E$10,0))))</f>
        <v/>
      </c>
      <c r="S6" s="34"/>
      <c r="T6" s="35" t="str">
        <f aca="false">IF($D6&lt;&gt;"Evet","",IF('1 AYAR'!$C$11="Sayı",MIN(S6*'1 AYAR'!$D$11,'1 AYAR'!$E$11),IF('1 AYAR'!$C$11="Evet/Hayır",IF(OR(S6="Var",S6="Yapıldı",S6="Evet"),'1 AYAR'!$E$11,0),IF(LEN(S6)&gt;3,'1 AYAR'!$E$11,0))))</f>
        <v/>
      </c>
      <c r="U6" s="34"/>
      <c r="V6" s="35" t="str">
        <f aca="false">IF($D6&lt;&gt;"Evet","",IF('1 AYAR'!$C$12="Sayı",MIN(U6*'1 AYAR'!$D$12,'1 AYAR'!$E$12),IF('1 AYAR'!$C$12="Evet/Hayır",IF(OR(U6="Var",U6="Yapıldı",U6="Evet"),'1 AYAR'!$E$12,0),IF(LEN(U6)&gt;3,'1 AYAR'!$E$12,0))))</f>
        <v/>
      </c>
      <c r="W6" s="34"/>
      <c r="X6" s="35" t="str">
        <f aca="false">IF($D6&lt;&gt;"Evet","",IF('1 AYAR'!$C$13="Sayı",MIN(W6*'1 AYAR'!$D$13,'1 AYAR'!$E$13),IF('1 AYAR'!$C$13="Evet/Hayır",IF(OR(W6="Var",W6="Yapıldı",W6="Evet"),'1 AYAR'!$E$13,0),IF(LEN(W6)&gt;3,'1 AYAR'!$E$13,0))))</f>
        <v/>
      </c>
      <c r="Y6" s="34"/>
      <c r="Z6" s="35" t="str">
        <f aca="false">IF($D6&lt;&gt;"Evet","",IF('1 AYAR'!$C$14="Sayı",MIN(Y6*'1 AYAR'!$D$14,'1 AYAR'!$E$14),IF('1 AYAR'!$C$14="Evet/Hayır",IF(OR(Y6="Var",Y6="Yapıldı",Y6="Evet"),'1 AYAR'!$E$14,0),IF(LEN(Y6)&gt;3,'1 AYAR'!$E$14,0))))</f>
        <v/>
      </c>
      <c r="AA6" s="36"/>
      <c r="AB6" s="35" t="str">
        <f aca="false">IF($D6&lt;&gt;"Evet","",IF('1 AYAR'!$C$15="Sayı",MIN(AA6*'1 AYAR'!$D$15,'1 AYAR'!$E$15),IF('1 AYAR'!$C$15="Evet/Hayır",IF(OR(AA6="Var",AA6="Yapıldı",AA6="Evet"),'1 AYAR'!$E$15,0),IF(LEN(AA6)&gt;3,'1 AYAR'!$E$15,0))))</f>
        <v/>
      </c>
      <c r="AC6" s="37" t="str">
        <f aca="false">IF($D6&lt;&gt;"Evet","",F6+H6+J6+L6+N6+P6+R6+T6+V6+X6+Z6+AB6)</f>
        <v/>
      </c>
      <c r="AD6" s="38" t="str">
        <f aca="false">IF($D6&lt;&gt;"Evet","",IF(AC6&gt;='1 AYAR'!$C$27,"A",IF(AC6&gt;='1 AYAR'!$C$28,"B",IF(AC6&gt;='1 AYAR'!$C$29,"C","D"))))</f>
        <v/>
      </c>
      <c r="AE6" s="39" t="str">
        <f aca="false">IF($D6&lt;&gt;"Evet","",AC6+ROW()/10000)</f>
        <v/>
      </c>
      <c r="AF6" s="40"/>
    </row>
    <row r="7" customFormat="false" ht="15" hidden="false" customHeight="false" outlineLevel="0" collapsed="false">
      <c r="A7" s="24" t="str">
        <f aca="false">IF($D7&lt;&gt;"Evet","",RANK(AC7,$AC$6:$AC$44,0))</f>
        <v/>
      </c>
      <c r="B7" s="31" t="s">
        <v>194</v>
      </c>
      <c r="C7" s="32" t="s">
        <v>197</v>
      </c>
      <c r="D7" s="33" t="s">
        <v>196</v>
      </c>
      <c r="E7" s="34"/>
      <c r="F7" s="35" t="str">
        <f aca="false">IF($D7&lt;&gt;"Evet","",IF('1 AYAR'!$C$4="Sayı",MIN(E7*'1 AYAR'!$D$4,'1 AYAR'!$E$4),IF('1 AYAR'!$C$4="Evet/Hayır",IF(OR(E7="Var",E7="Yapıldı",E7="Evet"),'1 AYAR'!$E$4,0),IF(LEN(E7)&gt;3,'1 AYAR'!$E$4,0))))</f>
        <v/>
      </c>
      <c r="G7" s="34"/>
      <c r="H7" s="35" t="str">
        <f aca="false">IF($D7&lt;&gt;"Evet","",IF('1 AYAR'!$C$5="Sayı",MIN(G7*'1 AYAR'!$D$5,'1 AYAR'!$E$5),IF('1 AYAR'!$C$5="Evet/Hayır",IF(OR(G7="Var",G7="Yapıldı",G7="Evet"),'1 AYAR'!$E$5,0),IF(LEN(G7)&gt;3,'1 AYAR'!$E$5,0))))</f>
        <v/>
      </c>
      <c r="I7" s="34"/>
      <c r="J7" s="35" t="str">
        <f aca="false">IF($D7&lt;&gt;"Evet","",IF('1 AYAR'!$C$6="Sayı",MIN(I7*'1 AYAR'!$D$6,'1 AYAR'!$E$6),IF('1 AYAR'!$C$6="Evet/Hayır",IF(OR(I7="Var",I7="Yapıldı",I7="Evet"),'1 AYAR'!$E$6,0),IF(LEN(I7)&gt;3,'1 AYAR'!$E$6,0))))</f>
        <v/>
      </c>
      <c r="K7" s="34"/>
      <c r="L7" s="35" t="str">
        <f aca="false">IF($D7&lt;&gt;"Evet","",IF('1 AYAR'!$C$7="Sayı",MIN(K7*'1 AYAR'!$D$7,'1 AYAR'!$E$7),IF('1 AYAR'!$C$7="Evet/Hayır",IF(OR(K7="Var",K7="Yapıldı",K7="Evet"),'1 AYAR'!$E$7,0),IF(LEN(K7)&gt;3,'1 AYAR'!$E$7,0))))</f>
        <v/>
      </c>
      <c r="M7" s="34"/>
      <c r="N7" s="35" t="str">
        <f aca="false">IF($D7&lt;&gt;"Evet","",IF('1 AYAR'!$C$8="Sayı",MIN(M7*'1 AYAR'!$D$8,'1 AYAR'!$E$8),IF('1 AYAR'!$C$8="Evet/Hayır",IF(OR(M7="Var",M7="Yapıldı",M7="Evet"),'1 AYAR'!$E$8,0),IF(LEN(M7)&gt;3,'1 AYAR'!$E$8,0))))</f>
        <v/>
      </c>
      <c r="O7" s="34"/>
      <c r="P7" s="35" t="str">
        <f aca="false">IF($D7&lt;&gt;"Evet","",IF('1 AYAR'!$C$9="Sayı",MIN(O7*'1 AYAR'!$D$9,'1 AYAR'!$E$9),IF('1 AYAR'!$C$9="Evet/Hayır",IF(OR(O7="Var",O7="Yapıldı",O7="Evet"),'1 AYAR'!$E$9,0),IF(LEN(O7)&gt;3,'1 AYAR'!$E$9,0))))</f>
        <v/>
      </c>
      <c r="Q7" s="34"/>
      <c r="R7" s="35" t="str">
        <f aca="false">IF($D7&lt;&gt;"Evet","",IF('1 AYAR'!$C$10="Sayı",MIN(Q7*'1 AYAR'!$D$10,'1 AYAR'!$E$10),IF('1 AYAR'!$C$10="Evet/Hayır",IF(OR(Q7="Var",Q7="Yapıldı",Q7="Evet"),'1 AYAR'!$E$10,0),IF(LEN(Q7)&gt;3,'1 AYAR'!$E$10,0))))</f>
        <v/>
      </c>
      <c r="S7" s="34"/>
      <c r="T7" s="35" t="str">
        <f aca="false">IF($D7&lt;&gt;"Evet","",IF('1 AYAR'!$C$11="Sayı",MIN(S7*'1 AYAR'!$D$11,'1 AYAR'!$E$11),IF('1 AYAR'!$C$11="Evet/Hayır",IF(OR(S7="Var",S7="Yapıldı",S7="Evet"),'1 AYAR'!$E$11,0),IF(LEN(S7)&gt;3,'1 AYAR'!$E$11,0))))</f>
        <v/>
      </c>
      <c r="U7" s="34"/>
      <c r="V7" s="35" t="str">
        <f aca="false">IF($D7&lt;&gt;"Evet","",IF('1 AYAR'!$C$12="Sayı",MIN(U7*'1 AYAR'!$D$12,'1 AYAR'!$E$12),IF('1 AYAR'!$C$12="Evet/Hayır",IF(OR(U7="Var",U7="Yapıldı",U7="Evet"),'1 AYAR'!$E$12,0),IF(LEN(U7)&gt;3,'1 AYAR'!$E$12,0))))</f>
        <v/>
      </c>
      <c r="W7" s="34"/>
      <c r="X7" s="35" t="str">
        <f aca="false">IF($D7&lt;&gt;"Evet","",IF('1 AYAR'!$C$13="Sayı",MIN(W7*'1 AYAR'!$D$13,'1 AYAR'!$E$13),IF('1 AYAR'!$C$13="Evet/Hayır",IF(OR(W7="Var",W7="Yapıldı",W7="Evet"),'1 AYAR'!$E$13,0),IF(LEN(W7)&gt;3,'1 AYAR'!$E$13,0))))</f>
        <v/>
      </c>
      <c r="Y7" s="34"/>
      <c r="Z7" s="35" t="str">
        <f aca="false">IF($D7&lt;&gt;"Evet","",IF('1 AYAR'!$C$14="Sayı",MIN(Y7*'1 AYAR'!$D$14,'1 AYAR'!$E$14),IF('1 AYAR'!$C$14="Evet/Hayır",IF(OR(Y7="Var",Y7="Yapıldı",Y7="Evet"),'1 AYAR'!$E$14,0),IF(LEN(Y7)&gt;3,'1 AYAR'!$E$14,0))))</f>
        <v/>
      </c>
      <c r="AA7" s="36"/>
      <c r="AB7" s="35" t="str">
        <f aca="false">IF($D7&lt;&gt;"Evet","",IF('1 AYAR'!$C$15="Sayı",MIN(AA7*'1 AYAR'!$D$15,'1 AYAR'!$E$15),IF('1 AYAR'!$C$15="Evet/Hayır",IF(OR(AA7="Var",AA7="Yapıldı",AA7="Evet"),'1 AYAR'!$E$15,0),IF(LEN(AA7)&gt;3,'1 AYAR'!$E$15,0))))</f>
        <v/>
      </c>
      <c r="AC7" s="37" t="str">
        <f aca="false">IF($D7&lt;&gt;"Evet","",F7+H7+J7+L7+N7+P7+R7+T7+V7+X7+Z7+AB7)</f>
        <v/>
      </c>
      <c r="AD7" s="38" t="str">
        <f aca="false">IF($D7&lt;&gt;"Evet","",IF(AC7&gt;='1 AYAR'!$C$27,"A",IF(AC7&gt;='1 AYAR'!$C$28,"B",IF(AC7&gt;='1 AYAR'!$C$29,"C","D"))))</f>
        <v/>
      </c>
      <c r="AE7" s="39" t="str">
        <f aca="false">IF($D7&lt;&gt;"Evet","",AC7+ROW()/10000)</f>
        <v/>
      </c>
      <c r="AF7" s="40"/>
    </row>
    <row r="8" customFormat="false" ht="15" hidden="false" customHeight="false" outlineLevel="0" collapsed="false">
      <c r="A8" s="24" t="str">
        <f aca="false">IF($D8&lt;&gt;"Evet","",RANK(AC8,$AC$6:$AC$44,0))</f>
        <v/>
      </c>
      <c r="B8" s="31" t="s">
        <v>194</v>
      </c>
      <c r="C8" s="32" t="s">
        <v>198</v>
      </c>
      <c r="D8" s="33" t="s">
        <v>196</v>
      </c>
      <c r="E8" s="34"/>
      <c r="F8" s="35" t="str">
        <f aca="false">IF($D8&lt;&gt;"Evet","",IF('1 AYAR'!$C$4="Sayı",MIN(E8*'1 AYAR'!$D$4,'1 AYAR'!$E$4),IF('1 AYAR'!$C$4="Evet/Hayır",IF(OR(E8="Var",E8="Yapıldı",E8="Evet"),'1 AYAR'!$E$4,0),IF(LEN(E8)&gt;3,'1 AYAR'!$E$4,0))))</f>
        <v/>
      </c>
      <c r="G8" s="34"/>
      <c r="H8" s="35" t="str">
        <f aca="false">IF($D8&lt;&gt;"Evet","",IF('1 AYAR'!$C$5="Sayı",MIN(G8*'1 AYAR'!$D$5,'1 AYAR'!$E$5),IF('1 AYAR'!$C$5="Evet/Hayır",IF(OR(G8="Var",G8="Yapıldı",G8="Evet"),'1 AYAR'!$E$5,0),IF(LEN(G8)&gt;3,'1 AYAR'!$E$5,0))))</f>
        <v/>
      </c>
      <c r="I8" s="34"/>
      <c r="J8" s="35" t="str">
        <f aca="false">IF($D8&lt;&gt;"Evet","",IF('1 AYAR'!$C$6="Sayı",MIN(I8*'1 AYAR'!$D$6,'1 AYAR'!$E$6),IF('1 AYAR'!$C$6="Evet/Hayır",IF(OR(I8="Var",I8="Yapıldı",I8="Evet"),'1 AYAR'!$E$6,0),IF(LEN(I8)&gt;3,'1 AYAR'!$E$6,0))))</f>
        <v/>
      </c>
      <c r="K8" s="34"/>
      <c r="L8" s="35" t="str">
        <f aca="false">IF($D8&lt;&gt;"Evet","",IF('1 AYAR'!$C$7="Sayı",MIN(K8*'1 AYAR'!$D$7,'1 AYAR'!$E$7),IF('1 AYAR'!$C$7="Evet/Hayır",IF(OR(K8="Var",K8="Yapıldı",K8="Evet"),'1 AYAR'!$E$7,0),IF(LEN(K8)&gt;3,'1 AYAR'!$E$7,0))))</f>
        <v/>
      </c>
      <c r="M8" s="34"/>
      <c r="N8" s="35" t="str">
        <f aca="false">IF($D8&lt;&gt;"Evet","",IF('1 AYAR'!$C$8="Sayı",MIN(M8*'1 AYAR'!$D$8,'1 AYAR'!$E$8),IF('1 AYAR'!$C$8="Evet/Hayır",IF(OR(M8="Var",M8="Yapıldı",M8="Evet"),'1 AYAR'!$E$8,0),IF(LEN(M8)&gt;3,'1 AYAR'!$E$8,0))))</f>
        <v/>
      </c>
      <c r="O8" s="34"/>
      <c r="P8" s="35" t="str">
        <f aca="false">IF($D8&lt;&gt;"Evet","",IF('1 AYAR'!$C$9="Sayı",MIN(O8*'1 AYAR'!$D$9,'1 AYAR'!$E$9),IF('1 AYAR'!$C$9="Evet/Hayır",IF(OR(O8="Var",O8="Yapıldı",O8="Evet"),'1 AYAR'!$E$9,0),IF(LEN(O8)&gt;3,'1 AYAR'!$E$9,0))))</f>
        <v/>
      </c>
      <c r="Q8" s="34"/>
      <c r="R8" s="35" t="str">
        <f aca="false">IF($D8&lt;&gt;"Evet","",IF('1 AYAR'!$C$10="Sayı",MIN(Q8*'1 AYAR'!$D$10,'1 AYAR'!$E$10),IF('1 AYAR'!$C$10="Evet/Hayır",IF(OR(Q8="Var",Q8="Yapıldı",Q8="Evet"),'1 AYAR'!$E$10,0),IF(LEN(Q8)&gt;3,'1 AYAR'!$E$10,0))))</f>
        <v/>
      </c>
      <c r="S8" s="34"/>
      <c r="T8" s="35" t="str">
        <f aca="false">IF($D8&lt;&gt;"Evet","",IF('1 AYAR'!$C$11="Sayı",MIN(S8*'1 AYAR'!$D$11,'1 AYAR'!$E$11),IF('1 AYAR'!$C$11="Evet/Hayır",IF(OR(S8="Var",S8="Yapıldı",S8="Evet"),'1 AYAR'!$E$11,0),IF(LEN(S8)&gt;3,'1 AYAR'!$E$11,0))))</f>
        <v/>
      </c>
      <c r="U8" s="34"/>
      <c r="V8" s="35" t="str">
        <f aca="false">IF($D8&lt;&gt;"Evet","",IF('1 AYAR'!$C$12="Sayı",MIN(U8*'1 AYAR'!$D$12,'1 AYAR'!$E$12),IF('1 AYAR'!$C$12="Evet/Hayır",IF(OR(U8="Var",U8="Yapıldı",U8="Evet"),'1 AYAR'!$E$12,0),IF(LEN(U8)&gt;3,'1 AYAR'!$E$12,0))))</f>
        <v/>
      </c>
      <c r="W8" s="34"/>
      <c r="X8" s="35" t="str">
        <f aca="false">IF($D8&lt;&gt;"Evet","",IF('1 AYAR'!$C$13="Sayı",MIN(W8*'1 AYAR'!$D$13,'1 AYAR'!$E$13),IF('1 AYAR'!$C$13="Evet/Hayır",IF(OR(W8="Var",W8="Yapıldı",W8="Evet"),'1 AYAR'!$E$13,0),IF(LEN(W8)&gt;3,'1 AYAR'!$E$13,0))))</f>
        <v/>
      </c>
      <c r="Y8" s="34"/>
      <c r="Z8" s="35" t="str">
        <f aca="false">IF($D8&lt;&gt;"Evet","",IF('1 AYAR'!$C$14="Sayı",MIN(Y8*'1 AYAR'!$D$14,'1 AYAR'!$E$14),IF('1 AYAR'!$C$14="Evet/Hayır",IF(OR(Y8="Var",Y8="Yapıldı",Y8="Evet"),'1 AYAR'!$E$14,0),IF(LEN(Y8)&gt;3,'1 AYAR'!$E$14,0))))</f>
        <v/>
      </c>
      <c r="AA8" s="36"/>
      <c r="AB8" s="35" t="str">
        <f aca="false">IF($D8&lt;&gt;"Evet","",IF('1 AYAR'!$C$15="Sayı",MIN(AA8*'1 AYAR'!$D$15,'1 AYAR'!$E$15),IF('1 AYAR'!$C$15="Evet/Hayır",IF(OR(AA8="Var",AA8="Yapıldı",AA8="Evet"),'1 AYAR'!$E$15,0),IF(LEN(AA8)&gt;3,'1 AYAR'!$E$15,0))))</f>
        <v/>
      </c>
      <c r="AC8" s="37" t="str">
        <f aca="false">IF($D8&lt;&gt;"Evet","",F8+H8+J8+L8+N8+P8+R8+T8+V8+X8+Z8+AB8)</f>
        <v/>
      </c>
      <c r="AD8" s="38" t="str">
        <f aca="false">IF($D8&lt;&gt;"Evet","",IF(AC8&gt;='1 AYAR'!$C$27,"A",IF(AC8&gt;='1 AYAR'!$C$28,"B",IF(AC8&gt;='1 AYAR'!$C$29,"C","D"))))</f>
        <v/>
      </c>
      <c r="AE8" s="39" t="str">
        <f aca="false">IF($D8&lt;&gt;"Evet","",AC8+ROW()/10000)</f>
        <v/>
      </c>
      <c r="AF8" s="40"/>
    </row>
    <row r="9" customFormat="false" ht="15" hidden="false" customHeight="false" outlineLevel="0" collapsed="false">
      <c r="A9" s="24" t="str">
        <f aca="false">IF($D9&lt;&gt;"Evet","",RANK(AC9,$AC$6:$AC$44,0))</f>
        <v/>
      </c>
      <c r="B9" s="31" t="s">
        <v>194</v>
      </c>
      <c r="C9" s="32" t="s">
        <v>199</v>
      </c>
      <c r="D9" s="33" t="s">
        <v>196</v>
      </c>
      <c r="E9" s="34"/>
      <c r="F9" s="35" t="str">
        <f aca="false">IF($D9&lt;&gt;"Evet","",IF('1 AYAR'!$C$4="Sayı",MIN(E9*'1 AYAR'!$D$4,'1 AYAR'!$E$4),IF('1 AYAR'!$C$4="Evet/Hayır",IF(OR(E9="Var",E9="Yapıldı",E9="Evet"),'1 AYAR'!$E$4,0),IF(LEN(E9)&gt;3,'1 AYAR'!$E$4,0))))</f>
        <v/>
      </c>
      <c r="G9" s="34"/>
      <c r="H9" s="35" t="str">
        <f aca="false">IF($D9&lt;&gt;"Evet","",IF('1 AYAR'!$C$5="Sayı",MIN(G9*'1 AYAR'!$D$5,'1 AYAR'!$E$5),IF('1 AYAR'!$C$5="Evet/Hayır",IF(OR(G9="Var",G9="Yapıldı",G9="Evet"),'1 AYAR'!$E$5,0),IF(LEN(G9)&gt;3,'1 AYAR'!$E$5,0))))</f>
        <v/>
      </c>
      <c r="I9" s="34"/>
      <c r="J9" s="35" t="str">
        <f aca="false">IF($D9&lt;&gt;"Evet","",IF('1 AYAR'!$C$6="Sayı",MIN(I9*'1 AYAR'!$D$6,'1 AYAR'!$E$6),IF('1 AYAR'!$C$6="Evet/Hayır",IF(OR(I9="Var",I9="Yapıldı",I9="Evet"),'1 AYAR'!$E$6,0),IF(LEN(I9)&gt;3,'1 AYAR'!$E$6,0))))</f>
        <v/>
      </c>
      <c r="K9" s="34"/>
      <c r="L9" s="35" t="str">
        <f aca="false">IF($D9&lt;&gt;"Evet","",IF('1 AYAR'!$C$7="Sayı",MIN(K9*'1 AYAR'!$D$7,'1 AYAR'!$E$7),IF('1 AYAR'!$C$7="Evet/Hayır",IF(OR(K9="Var",K9="Yapıldı",K9="Evet"),'1 AYAR'!$E$7,0),IF(LEN(K9)&gt;3,'1 AYAR'!$E$7,0))))</f>
        <v/>
      </c>
      <c r="M9" s="34"/>
      <c r="N9" s="35" t="str">
        <f aca="false">IF($D9&lt;&gt;"Evet","",IF('1 AYAR'!$C$8="Sayı",MIN(M9*'1 AYAR'!$D$8,'1 AYAR'!$E$8),IF('1 AYAR'!$C$8="Evet/Hayır",IF(OR(M9="Var",M9="Yapıldı",M9="Evet"),'1 AYAR'!$E$8,0),IF(LEN(M9)&gt;3,'1 AYAR'!$E$8,0))))</f>
        <v/>
      </c>
      <c r="O9" s="34"/>
      <c r="P9" s="35" t="str">
        <f aca="false">IF($D9&lt;&gt;"Evet","",IF('1 AYAR'!$C$9="Sayı",MIN(O9*'1 AYAR'!$D$9,'1 AYAR'!$E$9),IF('1 AYAR'!$C$9="Evet/Hayır",IF(OR(O9="Var",O9="Yapıldı",O9="Evet"),'1 AYAR'!$E$9,0),IF(LEN(O9)&gt;3,'1 AYAR'!$E$9,0))))</f>
        <v/>
      </c>
      <c r="Q9" s="34"/>
      <c r="R9" s="35" t="str">
        <f aca="false">IF($D9&lt;&gt;"Evet","",IF('1 AYAR'!$C$10="Sayı",MIN(Q9*'1 AYAR'!$D$10,'1 AYAR'!$E$10),IF('1 AYAR'!$C$10="Evet/Hayır",IF(OR(Q9="Var",Q9="Yapıldı",Q9="Evet"),'1 AYAR'!$E$10,0),IF(LEN(Q9)&gt;3,'1 AYAR'!$E$10,0))))</f>
        <v/>
      </c>
      <c r="S9" s="34"/>
      <c r="T9" s="35" t="str">
        <f aca="false">IF($D9&lt;&gt;"Evet","",IF('1 AYAR'!$C$11="Sayı",MIN(S9*'1 AYAR'!$D$11,'1 AYAR'!$E$11),IF('1 AYAR'!$C$11="Evet/Hayır",IF(OR(S9="Var",S9="Yapıldı",S9="Evet"),'1 AYAR'!$E$11,0),IF(LEN(S9)&gt;3,'1 AYAR'!$E$11,0))))</f>
        <v/>
      </c>
      <c r="U9" s="34"/>
      <c r="V9" s="35" t="str">
        <f aca="false">IF($D9&lt;&gt;"Evet","",IF('1 AYAR'!$C$12="Sayı",MIN(U9*'1 AYAR'!$D$12,'1 AYAR'!$E$12),IF('1 AYAR'!$C$12="Evet/Hayır",IF(OR(U9="Var",U9="Yapıldı",U9="Evet"),'1 AYAR'!$E$12,0),IF(LEN(U9)&gt;3,'1 AYAR'!$E$12,0))))</f>
        <v/>
      </c>
      <c r="W9" s="34"/>
      <c r="X9" s="35" t="str">
        <f aca="false">IF($D9&lt;&gt;"Evet","",IF('1 AYAR'!$C$13="Sayı",MIN(W9*'1 AYAR'!$D$13,'1 AYAR'!$E$13),IF('1 AYAR'!$C$13="Evet/Hayır",IF(OR(W9="Var",W9="Yapıldı",W9="Evet"),'1 AYAR'!$E$13,0),IF(LEN(W9)&gt;3,'1 AYAR'!$E$13,0))))</f>
        <v/>
      </c>
      <c r="Y9" s="34"/>
      <c r="Z9" s="35" t="str">
        <f aca="false">IF($D9&lt;&gt;"Evet","",IF('1 AYAR'!$C$14="Sayı",MIN(Y9*'1 AYAR'!$D$14,'1 AYAR'!$E$14),IF('1 AYAR'!$C$14="Evet/Hayır",IF(OR(Y9="Var",Y9="Yapıldı",Y9="Evet"),'1 AYAR'!$E$14,0),IF(LEN(Y9)&gt;3,'1 AYAR'!$E$14,0))))</f>
        <v/>
      </c>
      <c r="AA9" s="36"/>
      <c r="AB9" s="35" t="str">
        <f aca="false">IF($D9&lt;&gt;"Evet","",IF('1 AYAR'!$C$15="Sayı",MIN(AA9*'1 AYAR'!$D$15,'1 AYAR'!$E$15),IF('1 AYAR'!$C$15="Evet/Hayır",IF(OR(AA9="Var",AA9="Yapıldı",AA9="Evet"),'1 AYAR'!$E$15,0),IF(LEN(AA9)&gt;3,'1 AYAR'!$E$15,0))))</f>
        <v/>
      </c>
      <c r="AC9" s="37" t="str">
        <f aca="false">IF($D9&lt;&gt;"Evet","",F9+H9+J9+L9+N9+P9+R9+T9+V9+X9+Z9+AB9)</f>
        <v/>
      </c>
      <c r="AD9" s="38" t="str">
        <f aca="false">IF($D9&lt;&gt;"Evet","",IF(AC9&gt;='1 AYAR'!$C$27,"A",IF(AC9&gt;='1 AYAR'!$C$28,"B",IF(AC9&gt;='1 AYAR'!$C$29,"C","D"))))</f>
        <v/>
      </c>
      <c r="AE9" s="39" t="str">
        <f aca="false">IF($D9&lt;&gt;"Evet","",AC9+ROW()/10000)</f>
        <v/>
      </c>
      <c r="AF9" s="40"/>
    </row>
    <row r="10" customFormat="false" ht="15" hidden="false" customHeight="false" outlineLevel="0" collapsed="false">
      <c r="A10" s="24" t="str">
        <f aca="false">IF($D10&lt;&gt;"Evet","",RANK(AC10,$AC$6:$AC$44,0))</f>
        <v/>
      </c>
      <c r="B10" s="31" t="s">
        <v>194</v>
      </c>
      <c r="C10" s="32" t="s">
        <v>200</v>
      </c>
      <c r="D10" s="33" t="s">
        <v>196</v>
      </c>
      <c r="E10" s="34"/>
      <c r="F10" s="35" t="str">
        <f aca="false">IF($D10&lt;&gt;"Evet","",IF('1 AYAR'!$C$4="Sayı",MIN(E10*'1 AYAR'!$D$4,'1 AYAR'!$E$4),IF('1 AYAR'!$C$4="Evet/Hayır",IF(OR(E10="Var",E10="Yapıldı",E10="Evet"),'1 AYAR'!$E$4,0),IF(LEN(E10)&gt;3,'1 AYAR'!$E$4,0))))</f>
        <v/>
      </c>
      <c r="G10" s="34"/>
      <c r="H10" s="35" t="str">
        <f aca="false">IF($D10&lt;&gt;"Evet","",IF('1 AYAR'!$C$5="Sayı",MIN(G10*'1 AYAR'!$D$5,'1 AYAR'!$E$5),IF('1 AYAR'!$C$5="Evet/Hayır",IF(OR(G10="Var",G10="Yapıldı",G10="Evet"),'1 AYAR'!$E$5,0),IF(LEN(G10)&gt;3,'1 AYAR'!$E$5,0))))</f>
        <v/>
      </c>
      <c r="I10" s="34"/>
      <c r="J10" s="35" t="str">
        <f aca="false">IF($D10&lt;&gt;"Evet","",IF('1 AYAR'!$C$6="Sayı",MIN(I10*'1 AYAR'!$D$6,'1 AYAR'!$E$6),IF('1 AYAR'!$C$6="Evet/Hayır",IF(OR(I10="Var",I10="Yapıldı",I10="Evet"),'1 AYAR'!$E$6,0),IF(LEN(I10)&gt;3,'1 AYAR'!$E$6,0))))</f>
        <v/>
      </c>
      <c r="K10" s="34"/>
      <c r="L10" s="35" t="str">
        <f aca="false">IF($D10&lt;&gt;"Evet","",IF('1 AYAR'!$C$7="Sayı",MIN(K10*'1 AYAR'!$D$7,'1 AYAR'!$E$7),IF('1 AYAR'!$C$7="Evet/Hayır",IF(OR(K10="Var",K10="Yapıldı",K10="Evet"),'1 AYAR'!$E$7,0),IF(LEN(K10)&gt;3,'1 AYAR'!$E$7,0))))</f>
        <v/>
      </c>
      <c r="M10" s="34"/>
      <c r="N10" s="35" t="str">
        <f aca="false">IF($D10&lt;&gt;"Evet","",IF('1 AYAR'!$C$8="Sayı",MIN(M10*'1 AYAR'!$D$8,'1 AYAR'!$E$8),IF('1 AYAR'!$C$8="Evet/Hayır",IF(OR(M10="Var",M10="Yapıldı",M10="Evet"),'1 AYAR'!$E$8,0),IF(LEN(M10)&gt;3,'1 AYAR'!$E$8,0))))</f>
        <v/>
      </c>
      <c r="O10" s="34"/>
      <c r="P10" s="35" t="str">
        <f aca="false">IF($D10&lt;&gt;"Evet","",IF('1 AYAR'!$C$9="Sayı",MIN(O10*'1 AYAR'!$D$9,'1 AYAR'!$E$9),IF('1 AYAR'!$C$9="Evet/Hayır",IF(OR(O10="Var",O10="Yapıldı",O10="Evet"),'1 AYAR'!$E$9,0),IF(LEN(O10)&gt;3,'1 AYAR'!$E$9,0))))</f>
        <v/>
      </c>
      <c r="Q10" s="34"/>
      <c r="R10" s="35" t="str">
        <f aca="false">IF($D10&lt;&gt;"Evet","",IF('1 AYAR'!$C$10="Sayı",MIN(Q10*'1 AYAR'!$D$10,'1 AYAR'!$E$10),IF('1 AYAR'!$C$10="Evet/Hayır",IF(OR(Q10="Var",Q10="Yapıldı",Q10="Evet"),'1 AYAR'!$E$10,0),IF(LEN(Q10)&gt;3,'1 AYAR'!$E$10,0))))</f>
        <v/>
      </c>
      <c r="S10" s="34"/>
      <c r="T10" s="35" t="str">
        <f aca="false">IF($D10&lt;&gt;"Evet","",IF('1 AYAR'!$C$11="Sayı",MIN(S10*'1 AYAR'!$D$11,'1 AYAR'!$E$11),IF('1 AYAR'!$C$11="Evet/Hayır",IF(OR(S10="Var",S10="Yapıldı",S10="Evet"),'1 AYAR'!$E$11,0),IF(LEN(S10)&gt;3,'1 AYAR'!$E$11,0))))</f>
        <v/>
      </c>
      <c r="U10" s="34"/>
      <c r="V10" s="35" t="str">
        <f aca="false">IF($D10&lt;&gt;"Evet","",IF('1 AYAR'!$C$12="Sayı",MIN(U10*'1 AYAR'!$D$12,'1 AYAR'!$E$12),IF('1 AYAR'!$C$12="Evet/Hayır",IF(OR(U10="Var",U10="Yapıldı",U10="Evet"),'1 AYAR'!$E$12,0),IF(LEN(U10)&gt;3,'1 AYAR'!$E$12,0))))</f>
        <v/>
      </c>
      <c r="W10" s="34"/>
      <c r="X10" s="35" t="str">
        <f aca="false">IF($D10&lt;&gt;"Evet","",IF('1 AYAR'!$C$13="Sayı",MIN(W10*'1 AYAR'!$D$13,'1 AYAR'!$E$13),IF('1 AYAR'!$C$13="Evet/Hayır",IF(OR(W10="Var",W10="Yapıldı",W10="Evet"),'1 AYAR'!$E$13,0),IF(LEN(W10)&gt;3,'1 AYAR'!$E$13,0))))</f>
        <v/>
      </c>
      <c r="Y10" s="34"/>
      <c r="Z10" s="35" t="str">
        <f aca="false">IF($D10&lt;&gt;"Evet","",IF('1 AYAR'!$C$14="Sayı",MIN(Y10*'1 AYAR'!$D$14,'1 AYAR'!$E$14),IF('1 AYAR'!$C$14="Evet/Hayır",IF(OR(Y10="Var",Y10="Yapıldı",Y10="Evet"),'1 AYAR'!$E$14,0),IF(LEN(Y10)&gt;3,'1 AYAR'!$E$14,0))))</f>
        <v/>
      </c>
      <c r="AA10" s="36"/>
      <c r="AB10" s="35" t="str">
        <f aca="false">IF($D10&lt;&gt;"Evet","",IF('1 AYAR'!$C$15="Sayı",MIN(AA10*'1 AYAR'!$D$15,'1 AYAR'!$E$15),IF('1 AYAR'!$C$15="Evet/Hayır",IF(OR(AA10="Var",AA10="Yapıldı",AA10="Evet"),'1 AYAR'!$E$15,0),IF(LEN(AA10)&gt;3,'1 AYAR'!$E$15,0))))</f>
        <v/>
      </c>
      <c r="AC10" s="37" t="str">
        <f aca="false">IF($D10&lt;&gt;"Evet","",F10+H10+J10+L10+N10+P10+R10+T10+V10+X10+Z10+AB10)</f>
        <v/>
      </c>
      <c r="AD10" s="38" t="str">
        <f aca="false">IF($D10&lt;&gt;"Evet","",IF(AC10&gt;='1 AYAR'!$C$27,"A",IF(AC10&gt;='1 AYAR'!$C$28,"B",IF(AC10&gt;='1 AYAR'!$C$29,"C","D"))))</f>
        <v/>
      </c>
      <c r="AE10" s="39" t="str">
        <f aca="false">IF($D10&lt;&gt;"Evet","",AC10+ROW()/10000)</f>
        <v/>
      </c>
      <c r="AF10" s="40"/>
    </row>
    <row r="11" customFormat="false" ht="23.85" hidden="false" customHeight="false" outlineLevel="0" collapsed="false">
      <c r="A11" s="24" t="n">
        <f aca="false">IF($D11&lt;&gt;"Evet","",RANK(AC11,$AC$6:$AC$44,0))</f>
        <v>5</v>
      </c>
      <c r="B11" s="31" t="s">
        <v>194</v>
      </c>
      <c r="C11" s="41" t="s">
        <v>201</v>
      </c>
      <c r="D11" s="42" t="s">
        <v>202</v>
      </c>
      <c r="E11" s="34" t="n">
        <v>10</v>
      </c>
      <c r="F11" s="35" t="n">
        <f aca="false">IF($D11&lt;&gt;"Evet","",IF('1 AYAR'!$C$4="Sayı",MIN(E11*'1 AYAR'!$D$4,'1 AYAR'!$E$4),IF('1 AYAR'!$C$4="Evet/Hayır",IF(OR(E11="Var",E11="Yapıldı",E11="Evet"),'1 AYAR'!$E$4,0),IF(LEN(E11)&gt;3,'1 AYAR'!$E$4,0))))</f>
        <v>10</v>
      </c>
      <c r="G11" s="34" t="n">
        <v>3</v>
      </c>
      <c r="H11" s="35" t="n">
        <f aca="false">IF($D11&lt;&gt;"Evet","",IF('1 AYAR'!$C$5="Sayı",MIN(G11*'1 AYAR'!$D$5,'1 AYAR'!$E$5),IF('1 AYAR'!$C$5="Evet/Hayır",IF(OR(G11="Var",G11="Yapıldı",G11="Evet"),'1 AYAR'!$E$5,0),IF(LEN(G11)&gt;3,'1 AYAR'!$E$5,0))))</f>
        <v>7.5</v>
      </c>
      <c r="I11" s="34" t="s">
        <v>203</v>
      </c>
      <c r="J11" s="35" t="n">
        <f aca="false">IF($D11&lt;&gt;"Evet","",IF('1 AYAR'!$C$6="Sayı",MIN(I11*'1 AYAR'!$D$6,'1 AYAR'!$E$6),IF('1 AYAR'!$C$6="Evet/Hayır",IF(OR(I11="Var",I11="Yapıldı",I11="Evet"),'1 AYAR'!$E$6,0),IF(LEN(I11)&gt;3,'1 AYAR'!$E$6,0))))</f>
        <v>0</v>
      </c>
      <c r="K11" s="34" t="n">
        <v>3</v>
      </c>
      <c r="L11" s="35" t="n">
        <f aca="false">IF($D11&lt;&gt;"Evet","",IF('1 AYAR'!$C$7="Sayı",MIN(K11*'1 AYAR'!$D$7,'1 AYAR'!$E$7),IF('1 AYAR'!$C$7="Evet/Hayır",IF(OR(K11="Var",K11="Yapıldı",K11="Evet"),'1 AYAR'!$E$7,0),IF(LEN(K11)&gt;3,'1 AYAR'!$E$7,0))))</f>
        <v>1.5</v>
      </c>
      <c r="M11" s="34" t="n">
        <v>3</v>
      </c>
      <c r="N11" s="35" t="n">
        <f aca="false">IF($D11&lt;&gt;"Evet","",IF('1 AYAR'!$C$8="Sayı",MIN(M11*'1 AYAR'!$D$8,'1 AYAR'!$E$8),IF('1 AYAR'!$C$8="Evet/Hayır",IF(OR(M11="Var",M11="Yapıldı",M11="Evet"),'1 AYAR'!$E$8,0),IF(LEN(M11)&gt;3,'1 AYAR'!$E$8,0))))</f>
        <v>3</v>
      </c>
      <c r="O11" s="34" t="s">
        <v>204</v>
      </c>
      <c r="P11" s="35" t="n">
        <f aca="false">IF($D11&lt;&gt;"Evet","",IF('1 AYAR'!$C$9="Sayı",MIN(O11*'1 AYAR'!$D$9,'1 AYAR'!$E$9),IF('1 AYAR'!$C$9="Evet/Hayır",IF(OR(O11="Var",O11="Yapıldı",O11="Evet"),'1 AYAR'!$E$9,0),IF(LEN(O11)&gt;3,'1 AYAR'!$E$9,0))))</f>
        <v>0</v>
      </c>
      <c r="Q11" s="34" t="s">
        <v>205</v>
      </c>
      <c r="R11" s="35" t="n">
        <f aca="false">IF($D11&lt;&gt;"Evet","",IF('1 AYAR'!$C$10="Sayı",MIN(Q11*'1 AYAR'!$D$10,'1 AYAR'!$E$10),IF('1 AYAR'!$C$10="Evet/Hayır",IF(OR(Q11="Var",Q11="Yapıldı",Q11="Evet"),'1 AYAR'!$E$10,0),IF(LEN(Q11)&gt;3,'1 AYAR'!$E$10,0))))</f>
        <v>10</v>
      </c>
      <c r="S11" s="34" t="n">
        <v>1</v>
      </c>
      <c r="T11" s="35" t="n">
        <f aca="false">IF($D11&lt;&gt;"Evet","",IF('1 AYAR'!$C$11="Sayı",MIN(S11*'1 AYAR'!$D$11,'1 AYAR'!$E$11),IF('1 AYAR'!$C$11="Evet/Hayır",IF(OR(S11="Var",S11="Yapıldı",S11="Evet"),'1 AYAR'!$E$11,0),IF(LEN(S11)&gt;3,'1 AYAR'!$E$11,0))))</f>
        <v>1</v>
      </c>
      <c r="U11" s="34" t="n">
        <v>1</v>
      </c>
      <c r="V11" s="35" t="n">
        <f aca="false">IF($D11&lt;&gt;"Evet","",IF('1 AYAR'!$C$12="Sayı",MIN(U11*'1 AYAR'!$D$12,'1 AYAR'!$E$12),IF('1 AYAR'!$C$12="Evet/Hayır",IF(OR(U11="Var",U11="Yapıldı",U11="Evet"),'1 AYAR'!$E$12,0),IF(LEN(U11)&gt;3,'1 AYAR'!$E$12,0))))</f>
        <v>1</v>
      </c>
      <c r="W11" s="34" t="n">
        <v>0</v>
      </c>
      <c r="X11" s="35" t="n">
        <f aca="false">IF($D11&lt;&gt;"Evet","",IF('1 AYAR'!$C$13="Sayı",MIN(W11*'1 AYAR'!$D$13,'1 AYAR'!$E$13),IF('1 AYAR'!$C$13="Evet/Hayır",IF(OR(W11="Var",W11="Yapıldı",W11="Evet"),'1 AYAR'!$E$13,0),IF(LEN(W11)&gt;3,'1 AYAR'!$E$13,0))))</f>
        <v>0</v>
      </c>
      <c r="Y11" s="34" t="n">
        <v>0</v>
      </c>
      <c r="Z11" s="35" t="n">
        <f aca="false">IF($D11&lt;&gt;"Evet","",IF('1 AYAR'!$C$14="Sayı",MIN(Y11*'1 AYAR'!$D$14,'1 AYAR'!$E$14),IF('1 AYAR'!$C$14="Evet/Hayır",IF(OR(Y11="Var",Y11="Yapıldı",Y11="Evet"),'1 AYAR'!$E$14,0),IF(LEN(Y11)&gt;3,'1 AYAR'!$E$14,0))))</f>
        <v>0</v>
      </c>
      <c r="AA11" s="36" t="s">
        <v>206</v>
      </c>
      <c r="AB11" s="35" t="n">
        <f aca="false">IF($D11&lt;&gt;"Evet","",IF('1 AYAR'!$C$15="Sayı",MIN(AA11*'1 AYAR'!$D$15,'1 AYAR'!$E$15),IF('1 AYAR'!$C$15="Evet/Hayır",IF(OR(AA11="Var",AA11="Yapıldı",AA11="Evet"),'1 AYAR'!$E$15,0),IF(LEN(AA11)&gt;3,'1 AYAR'!$E$15,0))))</f>
        <v>5</v>
      </c>
      <c r="AC11" s="37" t="n">
        <f aca="false">IF($D11&lt;&gt;"Evet","",F11+H11+J11+L11+N11+P11+R11+T11+V11+X11+Z11+AB11)</f>
        <v>39</v>
      </c>
      <c r="AD11" s="38" t="str">
        <f aca="false">IF($D11&lt;&gt;"Evet","",IF(AC11&gt;='1 AYAR'!$C$27,"A",IF(AC11&gt;='1 AYAR'!$C$28,"B",IF(AC11&gt;='1 AYAR'!$C$29,"C","D"))))</f>
        <v>C</v>
      </c>
      <c r="AE11" s="39" t="n">
        <f aca="false">IF($D11&lt;&gt;"Evet","",AC11+ROW()/10000)</f>
        <v>39.0011</v>
      </c>
      <c r="AF11" s="40"/>
    </row>
    <row r="12" customFormat="false" ht="15" hidden="false" customHeight="false" outlineLevel="0" collapsed="false">
      <c r="A12" s="24" t="str">
        <f aca="false">IF($D12&lt;&gt;"Evet","",RANK(AC12,$AC$6:$AC$44,0))</f>
        <v/>
      </c>
      <c r="B12" s="31" t="s">
        <v>194</v>
      </c>
      <c r="C12" s="32" t="s">
        <v>207</v>
      </c>
      <c r="D12" s="33" t="s">
        <v>196</v>
      </c>
      <c r="E12" s="34"/>
      <c r="F12" s="35" t="str">
        <f aca="false">IF($D12&lt;&gt;"Evet","",IF('1 AYAR'!$C$4="Sayı",MIN(E12*'1 AYAR'!$D$4,'1 AYAR'!$E$4),IF('1 AYAR'!$C$4="Evet/Hayır",IF(OR(E12="Var",E12="Yapıldı",E12="Evet"),'1 AYAR'!$E$4,0),IF(LEN(E12)&gt;3,'1 AYAR'!$E$4,0))))</f>
        <v/>
      </c>
      <c r="G12" s="34"/>
      <c r="H12" s="35" t="str">
        <f aca="false">IF($D12&lt;&gt;"Evet","",IF('1 AYAR'!$C$5="Sayı",MIN(G12*'1 AYAR'!$D$5,'1 AYAR'!$E$5),IF('1 AYAR'!$C$5="Evet/Hayır",IF(OR(G12="Var",G12="Yapıldı",G12="Evet"),'1 AYAR'!$E$5,0),IF(LEN(G12)&gt;3,'1 AYAR'!$E$5,0))))</f>
        <v/>
      </c>
      <c r="I12" s="34"/>
      <c r="J12" s="35" t="str">
        <f aca="false">IF($D12&lt;&gt;"Evet","",IF('1 AYAR'!$C$6="Sayı",MIN(I12*'1 AYAR'!$D$6,'1 AYAR'!$E$6),IF('1 AYAR'!$C$6="Evet/Hayır",IF(OR(I12="Var",I12="Yapıldı",I12="Evet"),'1 AYAR'!$E$6,0),IF(LEN(I12)&gt;3,'1 AYAR'!$E$6,0))))</f>
        <v/>
      </c>
      <c r="K12" s="34"/>
      <c r="L12" s="35" t="str">
        <f aca="false">IF($D12&lt;&gt;"Evet","",IF('1 AYAR'!$C$7="Sayı",MIN(K12*'1 AYAR'!$D$7,'1 AYAR'!$E$7),IF('1 AYAR'!$C$7="Evet/Hayır",IF(OR(K12="Var",K12="Yapıldı",K12="Evet"),'1 AYAR'!$E$7,0),IF(LEN(K12)&gt;3,'1 AYAR'!$E$7,0))))</f>
        <v/>
      </c>
      <c r="M12" s="34"/>
      <c r="N12" s="35" t="str">
        <f aca="false">IF($D12&lt;&gt;"Evet","",IF('1 AYAR'!$C$8="Sayı",MIN(M12*'1 AYAR'!$D$8,'1 AYAR'!$E$8),IF('1 AYAR'!$C$8="Evet/Hayır",IF(OR(M12="Var",M12="Yapıldı",M12="Evet"),'1 AYAR'!$E$8,0),IF(LEN(M12)&gt;3,'1 AYAR'!$E$8,0))))</f>
        <v/>
      </c>
      <c r="O12" s="34"/>
      <c r="P12" s="35" t="str">
        <f aca="false">IF($D12&lt;&gt;"Evet","",IF('1 AYAR'!$C$9="Sayı",MIN(O12*'1 AYAR'!$D$9,'1 AYAR'!$E$9),IF('1 AYAR'!$C$9="Evet/Hayır",IF(OR(O12="Var",O12="Yapıldı",O12="Evet"),'1 AYAR'!$E$9,0),IF(LEN(O12)&gt;3,'1 AYAR'!$E$9,0))))</f>
        <v/>
      </c>
      <c r="Q12" s="34"/>
      <c r="R12" s="35" t="str">
        <f aca="false">IF($D12&lt;&gt;"Evet","",IF('1 AYAR'!$C$10="Sayı",MIN(Q12*'1 AYAR'!$D$10,'1 AYAR'!$E$10),IF('1 AYAR'!$C$10="Evet/Hayır",IF(OR(Q12="Var",Q12="Yapıldı",Q12="Evet"),'1 AYAR'!$E$10,0),IF(LEN(Q12)&gt;3,'1 AYAR'!$E$10,0))))</f>
        <v/>
      </c>
      <c r="S12" s="34"/>
      <c r="T12" s="35" t="str">
        <f aca="false">IF($D12&lt;&gt;"Evet","",IF('1 AYAR'!$C$11="Sayı",MIN(S12*'1 AYAR'!$D$11,'1 AYAR'!$E$11),IF('1 AYAR'!$C$11="Evet/Hayır",IF(OR(S12="Var",S12="Yapıldı",S12="Evet"),'1 AYAR'!$E$11,0),IF(LEN(S12)&gt;3,'1 AYAR'!$E$11,0))))</f>
        <v/>
      </c>
      <c r="U12" s="34"/>
      <c r="V12" s="35" t="str">
        <f aca="false">IF($D12&lt;&gt;"Evet","",IF('1 AYAR'!$C$12="Sayı",MIN(U12*'1 AYAR'!$D$12,'1 AYAR'!$E$12),IF('1 AYAR'!$C$12="Evet/Hayır",IF(OR(U12="Var",U12="Yapıldı",U12="Evet"),'1 AYAR'!$E$12,0),IF(LEN(U12)&gt;3,'1 AYAR'!$E$12,0))))</f>
        <v/>
      </c>
      <c r="W12" s="34"/>
      <c r="X12" s="35" t="str">
        <f aca="false">IF($D12&lt;&gt;"Evet","",IF('1 AYAR'!$C$13="Sayı",MIN(W12*'1 AYAR'!$D$13,'1 AYAR'!$E$13),IF('1 AYAR'!$C$13="Evet/Hayır",IF(OR(W12="Var",W12="Yapıldı",W12="Evet"),'1 AYAR'!$E$13,0),IF(LEN(W12)&gt;3,'1 AYAR'!$E$13,0))))</f>
        <v/>
      </c>
      <c r="Y12" s="34"/>
      <c r="Z12" s="35" t="str">
        <f aca="false">IF($D12&lt;&gt;"Evet","",IF('1 AYAR'!$C$14="Sayı",MIN(Y12*'1 AYAR'!$D$14,'1 AYAR'!$E$14),IF('1 AYAR'!$C$14="Evet/Hayır",IF(OR(Y12="Var",Y12="Yapıldı",Y12="Evet"),'1 AYAR'!$E$14,0),IF(LEN(Y12)&gt;3,'1 AYAR'!$E$14,0))))</f>
        <v/>
      </c>
      <c r="AA12" s="36"/>
      <c r="AB12" s="35" t="str">
        <f aca="false">IF($D12&lt;&gt;"Evet","",IF('1 AYAR'!$C$15="Sayı",MIN(AA12*'1 AYAR'!$D$15,'1 AYAR'!$E$15),IF('1 AYAR'!$C$15="Evet/Hayır",IF(OR(AA12="Var",AA12="Yapıldı",AA12="Evet"),'1 AYAR'!$E$15,0),IF(LEN(AA12)&gt;3,'1 AYAR'!$E$15,0))))</f>
        <v/>
      </c>
      <c r="AC12" s="37" t="str">
        <f aca="false">IF($D12&lt;&gt;"Evet","",F12+H12+J12+L12+N12+P12+R12+T12+V12+X12+Z12+AB12)</f>
        <v/>
      </c>
      <c r="AD12" s="38" t="str">
        <f aca="false">IF($D12&lt;&gt;"Evet","",IF(AC12&gt;='1 AYAR'!$C$27,"A",IF(AC12&gt;='1 AYAR'!$C$28,"B",IF(AC12&gt;='1 AYAR'!$C$29,"C","D"))))</f>
        <v/>
      </c>
      <c r="AE12" s="39" t="str">
        <f aca="false">IF($D12&lt;&gt;"Evet","",AC12+ROW()/10000)</f>
        <v/>
      </c>
      <c r="AF12" s="40"/>
    </row>
    <row r="13" customFormat="false" ht="15" hidden="false" customHeight="false" outlineLevel="0" collapsed="false">
      <c r="A13" s="24" t="str">
        <f aca="false">IF($D13&lt;&gt;"Evet","",RANK(AC13,$AC$6:$AC$44,0))</f>
        <v/>
      </c>
      <c r="B13" s="31" t="s">
        <v>194</v>
      </c>
      <c r="C13" s="32" t="s">
        <v>208</v>
      </c>
      <c r="D13" s="33" t="s">
        <v>196</v>
      </c>
      <c r="E13" s="34"/>
      <c r="F13" s="35" t="str">
        <f aca="false">IF($D13&lt;&gt;"Evet","",IF('1 AYAR'!$C$4="Sayı",MIN(E13*'1 AYAR'!$D$4,'1 AYAR'!$E$4),IF('1 AYAR'!$C$4="Evet/Hayır",IF(OR(E13="Var",E13="Yapıldı",E13="Evet"),'1 AYAR'!$E$4,0),IF(LEN(E13)&gt;3,'1 AYAR'!$E$4,0))))</f>
        <v/>
      </c>
      <c r="G13" s="34"/>
      <c r="H13" s="35" t="str">
        <f aca="false">IF($D13&lt;&gt;"Evet","",IF('1 AYAR'!$C$5="Sayı",MIN(G13*'1 AYAR'!$D$5,'1 AYAR'!$E$5),IF('1 AYAR'!$C$5="Evet/Hayır",IF(OR(G13="Var",G13="Yapıldı",G13="Evet"),'1 AYAR'!$E$5,0),IF(LEN(G13)&gt;3,'1 AYAR'!$E$5,0))))</f>
        <v/>
      </c>
      <c r="I13" s="34"/>
      <c r="J13" s="35" t="str">
        <f aca="false">IF($D13&lt;&gt;"Evet","",IF('1 AYAR'!$C$6="Sayı",MIN(I13*'1 AYAR'!$D$6,'1 AYAR'!$E$6),IF('1 AYAR'!$C$6="Evet/Hayır",IF(OR(I13="Var",I13="Yapıldı",I13="Evet"),'1 AYAR'!$E$6,0),IF(LEN(I13)&gt;3,'1 AYAR'!$E$6,0))))</f>
        <v/>
      </c>
      <c r="K13" s="34"/>
      <c r="L13" s="35" t="str">
        <f aca="false">IF($D13&lt;&gt;"Evet","",IF('1 AYAR'!$C$7="Sayı",MIN(K13*'1 AYAR'!$D$7,'1 AYAR'!$E$7),IF('1 AYAR'!$C$7="Evet/Hayır",IF(OR(K13="Var",K13="Yapıldı",K13="Evet"),'1 AYAR'!$E$7,0),IF(LEN(K13)&gt;3,'1 AYAR'!$E$7,0))))</f>
        <v/>
      </c>
      <c r="M13" s="34"/>
      <c r="N13" s="35" t="str">
        <f aca="false">IF($D13&lt;&gt;"Evet","",IF('1 AYAR'!$C$8="Sayı",MIN(M13*'1 AYAR'!$D$8,'1 AYAR'!$E$8),IF('1 AYAR'!$C$8="Evet/Hayır",IF(OR(M13="Var",M13="Yapıldı",M13="Evet"),'1 AYAR'!$E$8,0),IF(LEN(M13)&gt;3,'1 AYAR'!$E$8,0))))</f>
        <v/>
      </c>
      <c r="O13" s="34"/>
      <c r="P13" s="35" t="str">
        <f aca="false">IF($D13&lt;&gt;"Evet","",IF('1 AYAR'!$C$9="Sayı",MIN(O13*'1 AYAR'!$D$9,'1 AYAR'!$E$9),IF('1 AYAR'!$C$9="Evet/Hayır",IF(OR(O13="Var",O13="Yapıldı",O13="Evet"),'1 AYAR'!$E$9,0),IF(LEN(O13)&gt;3,'1 AYAR'!$E$9,0))))</f>
        <v/>
      </c>
      <c r="Q13" s="34"/>
      <c r="R13" s="35" t="str">
        <f aca="false">IF($D13&lt;&gt;"Evet","",IF('1 AYAR'!$C$10="Sayı",MIN(Q13*'1 AYAR'!$D$10,'1 AYAR'!$E$10),IF('1 AYAR'!$C$10="Evet/Hayır",IF(OR(Q13="Var",Q13="Yapıldı",Q13="Evet"),'1 AYAR'!$E$10,0),IF(LEN(Q13)&gt;3,'1 AYAR'!$E$10,0))))</f>
        <v/>
      </c>
      <c r="S13" s="34"/>
      <c r="T13" s="35" t="str">
        <f aca="false">IF($D13&lt;&gt;"Evet","",IF('1 AYAR'!$C$11="Sayı",MIN(S13*'1 AYAR'!$D$11,'1 AYAR'!$E$11),IF('1 AYAR'!$C$11="Evet/Hayır",IF(OR(S13="Var",S13="Yapıldı",S13="Evet"),'1 AYAR'!$E$11,0),IF(LEN(S13)&gt;3,'1 AYAR'!$E$11,0))))</f>
        <v/>
      </c>
      <c r="U13" s="34"/>
      <c r="V13" s="35" t="str">
        <f aca="false">IF($D13&lt;&gt;"Evet","",IF('1 AYAR'!$C$12="Sayı",MIN(U13*'1 AYAR'!$D$12,'1 AYAR'!$E$12),IF('1 AYAR'!$C$12="Evet/Hayır",IF(OR(U13="Var",U13="Yapıldı",U13="Evet"),'1 AYAR'!$E$12,0),IF(LEN(U13)&gt;3,'1 AYAR'!$E$12,0))))</f>
        <v/>
      </c>
      <c r="W13" s="34"/>
      <c r="X13" s="35" t="str">
        <f aca="false">IF($D13&lt;&gt;"Evet","",IF('1 AYAR'!$C$13="Sayı",MIN(W13*'1 AYAR'!$D$13,'1 AYAR'!$E$13),IF('1 AYAR'!$C$13="Evet/Hayır",IF(OR(W13="Var",W13="Yapıldı",W13="Evet"),'1 AYAR'!$E$13,0),IF(LEN(W13)&gt;3,'1 AYAR'!$E$13,0))))</f>
        <v/>
      </c>
      <c r="Y13" s="34"/>
      <c r="Z13" s="35" t="str">
        <f aca="false">IF($D13&lt;&gt;"Evet","",IF('1 AYAR'!$C$14="Sayı",MIN(Y13*'1 AYAR'!$D$14,'1 AYAR'!$E$14),IF('1 AYAR'!$C$14="Evet/Hayır",IF(OR(Y13="Var",Y13="Yapıldı",Y13="Evet"),'1 AYAR'!$E$14,0),IF(LEN(Y13)&gt;3,'1 AYAR'!$E$14,0))))</f>
        <v/>
      </c>
      <c r="AA13" s="36"/>
      <c r="AB13" s="35" t="str">
        <f aca="false">IF($D13&lt;&gt;"Evet","",IF('1 AYAR'!$C$15="Sayı",MIN(AA13*'1 AYAR'!$D$15,'1 AYAR'!$E$15),IF('1 AYAR'!$C$15="Evet/Hayır",IF(OR(AA13="Var",AA13="Yapıldı",AA13="Evet"),'1 AYAR'!$E$15,0),IF(LEN(AA13)&gt;3,'1 AYAR'!$E$15,0))))</f>
        <v/>
      </c>
      <c r="AC13" s="37" t="str">
        <f aca="false">IF($D13&lt;&gt;"Evet","",F13+H13+J13+L13+N13+P13+R13+T13+V13+X13+Z13+AB13)</f>
        <v/>
      </c>
      <c r="AD13" s="38" t="str">
        <f aca="false">IF($D13&lt;&gt;"Evet","",IF(AC13&gt;='1 AYAR'!$C$27,"A",IF(AC13&gt;='1 AYAR'!$C$28,"B",IF(AC13&gt;='1 AYAR'!$C$29,"C","D"))))</f>
        <v/>
      </c>
      <c r="AE13" s="39" t="str">
        <f aca="false">IF($D13&lt;&gt;"Evet","",AC13+ROW()/10000)</f>
        <v/>
      </c>
      <c r="AF13" s="40"/>
    </row>
    <row r="14" customFormat="false" ht="15" hidden="false" customHeight="false" outlineLevel="0" collapsed="false">
      <c r="A14" s="24" t="str">
        <f aca="false">IF($D14&lt;&gt;"Evet","",RANK(AC14,$AC$6:$AC$44,0))</f>
        <v/>
      </c>
      <c r="B14" s="31" t="s">
        <v>194</v>
      </c>
      <c r="C14" s="32" t="s">
        <v>209</v>
      </c>
      <c r="D14" s="33" t="s">
        <v>196</v>
      </c>
      <c r="E14" s="34"/>
      <c r="F14" s="35" t="str">
        <f aca="false">IF($D14&lt;&gt;"Evet","",IF('1 AYAR'!$C$4="Sayı",MIN(E14*'1 AYAR'!$D$4,'1 AYAR'!$E$4),IF('1 AYAR'!$C$4="Evet/Hayır",IF(OR(E14="Var",E14="Yapıldı",E14="Evet"),'1 AYAR'!$E$4,0),IF(LEN(E14)&gt;3,'1 AYAR'!$E$4,0))))</f>
        <v/>
      </c>
      <c r="G14" s="34"/>
      <c r="H14" s="35" t="str">
        <f aca="false">IF($D14&lt;&gt;"Evet","",IF('1 AYAR'!$C$5="Sayı",MIN(G14*'1 AYAR'!$D$5,'1 AYAR'!$E$5),IF('1 AYAR'!$C$5="Evet/Hayır",IF(OR(G14="Var",G14="Yapıldı",G14="Evet"),'1 AYAR'!$E$5,0),IF(LEN(G14)&gt;3,'1 AYAR'!$E$5,0))))</f>
        <v/>
      </c>
      <c r="I14" s="34"/>
      <c r="J14" s="35" t="str">
        <f aca="false">IF($D14&lt;&gt;"Evet","",IF('1 AYAR'!$C$6="Sayı",MIN(I14*'1 AYAR'!$D$6,'1 AYAR'!$E$6),IF('1 AYAR'!$C$6="Evet/Hayır",IF(OR(I14="Var",I14="Yapıldı",I14="Evet"),'1 AYAR'!$E$6,0),IF(LEN(I14)&gt;3,'1 AYAR'!$E$6,0))))</f>
        <v/>
      </c>
      <c r="K14" s="34"/>
      <c r="L14" s="35" t="str">
        <f aca="false">IF($D14&lt;&gt;"Evet","",IF('1 AYAR'!$C$7="Sayı",MIN(K14*'1 AYAR'!$D$7,'1 AYAR'!$E$7),IF('1 AYAR'!$C$7="Evet/Hayır",IF(OR(K14="Var",K14="Yapıldı",K14="Evet"),'1 AYAR'!$E$7,0),IF(LEN(K14)&gt;3,'1 AYAR'!$E$7,0))))</f>
        <v/>
      </c>
      <c r="M14" s="34"/>
      <c r="N14" s="35" t="str">
        <f aca="false">IF($D14&lt;&gt;"Evet","",IF('1 AYAR'!$C$8="Sayı",MIN(M14*'1 AYAR'!$D$8,'1 AYAR'!$E$8),IF('1 AYAR'!$C$8="Evet/Hayır",IF(OR(M14="Var",M14="Yapıldı",M14="Evet"),'1 AYAR'!$E$8,0),IF(LEN(M14)&gt;3,'1 AYAR'!$E$8,0))))</f>
        <v/>
      </c>
      <c r="O14" s="34"/>
      <c r="P14" s="35" t="str">
        <f aca="false">IF($D14&lt;&gt;"Evet","",IF('1 AYAR'!$C$9="Sayı",MIN(O14*'1 AYAR'!$D$9,'1 AYAR'!$E$9),IF('1 AYAR'!$C$9="Evet/Hayır",IF(OR(O14="Var",O14="Yapıldı",O14="Evet"),'1 AYAR'!$E$9,0),IF(LEN(O14)&gt;3,'1 AYAR'!$E$9,0))))</f>
        <v/>
      </c>
      <c r="Q14" s="34"/>
      <c r="R14" s="35" t="str">
        <f aca="false">IF($D14&lt;&gt;"Evet","",IF('1 AYAR'!$C$10="Sayı",MIN(Q14*'1 AYAR'!$D$10,'1 AYAR'!$E$10),IF('1 AYAR'!$C$10="Evet/Hayır",IF(OR(Q14="Var",Q14="Yapıldı",Q14="Evet"),'1 AYAR'!$E$10,0),IF(LEN(Q14)&gt;3,'1 AYAR'!$E$10,0))))</f>
        <v/>
      </c>
      <c r="S14" s="34"/>
      <c r="T14" s="35" t="str">
        <f aca="false">IF($D14&lt;&gt;"Evet","",IF('1 AYAR'!$C$11="Sayı",MIN(S14*'1 AYAR'!$D$11,'1 AYAR'!$E$11),IF('1 AYAR'!$C$11="Evet/Hayır",IF(OR(S14="Var",S14="Yapıldı",S14="Evet"),'1 AYAR'!$E$11,0),IF(LEN(S14)&gt;3,'1 AYAR'!$E$11,0))))</f>
        <v/>
      </c>
      <c r="U14" s="34"/>
      <c r="V14" s="35" t="str">
        <f aca="false">IF($D14&lt;&gt;"Evet","",IF('1 AYAR'!$C$12="Sayı",MIN(U14*'1 AYAR'!$D$12,'1 AYAR'!$E$12),IF('1 AYAR'!$C$12="Evet/Hayır",IF(OR(U14="Var",U14="Yapıldı",U14="Evet"),'1 AYAR'!$E$12,0),IF(LEN(U14)&gt;3,'1 AYAR'!$E$12,0))))</f>
        <v/>
      </c>
      <c r="W14" s="34"/>
      <c r="X14" s="35" t="str">
        <f aca="false">IF($D14&lt;&gt;"Evet","",IF('1 AYAR'!$C$13="Sayı",MIN(W14*'1 AYAR'!$D$13,'1 AYAR'!$E$13),IF('1 AYAR'!$C$13="Evet/Hayır",IF(OR(W14="Var",W14="Yapıldı",W14="Evet"),'1 AYAR'!$E$13,0),IF(LEN(W14)&gt;3,'1 AYAR'!$E$13,0))))</f>
        <v/>
      </c>
      <c r="Y14" s="34"/>
      <c r="Z14" s="35" t="str">
        <f aca="false">IF($D14&lt;&gt;"Evet","",IF('1 AYAR'!$C$14="Sayı",MIN(Y14*'1 AYAR'!$D$14,'1 AYAR'!$E$14),IF('1 AYAR'!$C$14="Evet/Hayır",IF(OR(Y14="Var",Y14="Yapıldı",Y14="Evet"),'1 AYAR'!$E$14,0),IF(LEN(Y14)&gt;3,'1 AYAR'!$E$14,0))))</f>
        <v/>
      </c>
      <c r="AA14" s="36"/>
      <c r="AB14" s="35" t="str">
        <f aca="false">IF($D14&lt;&gt;"Evet","",IF('1 AYAR'!$C$15="Sayı",MIN(AA14*'1 AYAR'!$D$15,'1 AYAR'!$E$15),IF('1 AYAR'!$C$15="Evet/Hayır",IF(OR(AA14="Var",AA14="Yapıldı",AA14="Evet"),'1 AYAR'!$E$15,0),IF(LEN(AA14)&gt;3,'1 AYAR'!$E$15,0))))</f>
        <v/>
      </c>
      <c r="AC14" s="37" t="str">
        <f aca="false">IF($D14&lt;&gt;"Evet","",F14+H14+J14+L14+N14+P14+R14+T14+V14+X14+Z14+AB14)</f>
        <v/>
      </c>
      <c r="AD14" s="38" t="str">
        <f aca="false">IF($D14&lt;&gt;"Evet","",IF(AC14&gt;='1 AYAR'!$C$27,"A",IF(AC14&gt;='1 AYAR'!$C$28,"B",IF(AC14&gt;='1 AYAR'!$C$29,"C","D"))))</f>
        <v/>
      </c>
      <c r="AE14" s="39" t="str">
        <f aca="false">IF($D14&lt;&gt;"Evet","",AC14+ROW()/10000)</f>
        <v/>
      </c>
      <c r="AF14" s="40"/>
    </row>
    <row r="15" customFormat="false" ht="15" hidden="false" customHeight="false" outlineLevel="0" collapsed="false">
      <c r="A15" s="24" t="str">
        <f aca="false">IF($D15&lt;&gt;"Evet","",RANK(AC15,$AC$6:$AC$44,0))</f>
        <v/>
      </c>
      <c r="B15" s="31" t="s">
        <v>194</v>
      </c>
      <c r="C15" s="32" t="s">
        <v>210</v>
      </c>
      <c r="D15" s="33" t="s">
        <v>196</v>
      </c>
      <c r="E15" s="34"/>
      <c r="F15" s="35" t="str">
        <f aca="false">IF($D15&lt;&gt;"Evet","",IF('1 AYAR'!$C$4="Sayı",MIN(E15*'1 AYAR'!$D$4,'1 AYAR'!$E$4),IF('1 AYAR'!$C$4="Evet/Hayır",IF(OR(E15="Var",E15="Yapıldı",E15="Evet"),'1 AYAR'!$E$4,0),IF(LEN(E15)&gt;3,'1 AYAR'!$E$4,0))))</f>
        <v/>
      </c>
      <c r="G15" s="34"/>
      <c r="H15" s="35" t="str">
        <f aca="false">IF($D15&lt;&gt;"Evet","",IF('1 AYAR'!$C$5="Sayı",MIN(G15*'1 AYAR'!$D$5,'1 AYAR'!$E$5),IF('1 AYAR'!$C$5="Evet/Hayır",IF(OR(G15="Var",G15="Yapıldı",G15="Evet"),'1 AYAR'!$E$5,0),IF(LEN(G15)&gt;3,'1 AYAR'!$E$5,0))))</f>
        <v/>
      </c>
      <c r="I15" s="34"/>
      <c r="J15" s="35" t="str">
        <f aca="false">IF($D15&lt;&gt;"Evet","",IF('1 AYAR'!$C$6="Sayı",MIN(I15*'1 AYAR'!$D$6,'1 AYAR'!$E$6),IF('1 AYAR'!$C$6="Evet/Hayır",IF(OR(I15="Var",I15="Yapıldı",I15="Evet"),'1 AYAR'!$E$6,0),IF(LEN(I15)&gt;3,'1 AYAR'!$E$6,0))))</f>
        <v/>
      </c>
      <c r="K15" s="34"/>
      <c r="L15" s="35" t="str">
        <f aca="false">IF($D15&lt;&gt;"Evet","",IF('1 AYAR'!$C$7="Sayı",MIN(K15*'1 AYAR'!$D$7,'1 AYAR'!$E$7),IF('1 AYAR'!$C$7="Evet/Hayır",IF(OR(K15="Var",K15="Yapıldı",K15="Evet"),'1 AYAR'!$E$7,0),IF(LEN(K15)&gt;3,'1 AYAR'!$E$7,0))))</f>
        <v/>
      </c>
      <c r="M15" s="34"/>
      <c r="N15" s="35" t="str">
        <f aca="false">IF($D15&lt;&gt;"Evet","",IF('1 AYAR'!$C$8="Sayı",MIN(M15*'1 AYAR'!$D$8,'1 AYAR'!$E$8),IF('1 AYAR'!$C$8="Evet/Hayır",IF(OR(M15="Var",M15="Yapıldı",M15="Evet"),'1 AYAR'!$E$8,0),IF(LEN(M15)&gt;3,'1 AYAR'!$E$8,0))))</f>
        <v/>
      </c>
      <c r="O15" s="34"/>
      <c r="P15" s="35" t="str">
        <f aca="false">IF($D15&lt;&gt;"Evet","",IF('1 AYAR'!$C$9="Sayı",MIN(O15*'1 AYAR'!$D$9,'1 AYAR'!$E$9),IF('1 AYAR'!$C$9="Evet/Hayır",IF(OR(O15="Var",O15="Yapıldı",O15="Evet"),'1 AYAR'!$E$9,0),IF(LEN(O15)&gt;3,'1 AYAR'!$E$9,0))))</f>
        <v/>
      </c>
      <c r="Q15" s="34"/>
      <c r="R15" s="35" t="str">
        <f aca="false">IF($D15&lt;&gt;"Evet","",IF('1 AYAR'!$C$10="Sayı",MIN(Q15*'1 AYAR'!$D$10,'1 AYAR'!$E$10),IF('1 AYAR'!$C$10="Evet/Hayır",IF(OR(Q15="Var",Q15="Yapıldı",Q15="Evet"),'1 AYAR'!$E$10,0),IF(LEN(Q15)&gt;3,'1 AYAR'!$E$10,0))))</f>
        <v/>
      </c>
      <c r="S15" s="34"/>
      <c r="T15" s="35" t="str">
        <f aca="false">IF($D15&lt;&gt;"Evet","",IF('1 AYAR'!$C$11="Sayı",MIN(S15*'1 AYAR'!$D$11,'1 AYAR'!$E$11),IF('1 AYAR'!$C$11="Evet/Hayır",IF(OR(S15="Var",S15="Yapıldı",S15="Evet"),'1 AYAR'!$E$11,0),IF(LEN(S15)&gt;3,'1 AYAR'!$E$11,0))))</f>
        <v/>
      </c>
      <c r="U15" s="34"/>
      <c r="V15" s="35" t="str">
        <f aca="false">IF($D15&lt;&gt;"Evet","",IF('1 AYAR'!$C$12="Sayı",MIN(U15*'1 AYAR'!$D$12,'1 AYAR'!$E$12),IF('1 AYAR'!$C$12="Evet/Hayır",IF(OR(U15="Var",U15="Yapıldı",U15="Evet"),'1 AYAR'!$E$12,0),IF(LEN(U15)&gt;3,'1 AYAR'!$E$12,0))))</f>
        <v/>
      </c>
      <c r="W15" s="34"/>
      <c r="X15" s="35" t="str">
        <f aca="false">IF($D15&lt;&gt;"Evet","",IF('1 AYAR'!$C$13="Sayı",MIN(W15*'1 AYAR'!$D$13,'1 AYAR'!$E$13),IF('1 AYAR'!$C$13="Evet/Hayır",IF(OR(W15="Var",W15="Yapıldı",W15="Evet"),'1 AYAR'!$E$13,0),IF(LEN(W15)&gt;3,'1 AYAR'!$E$13,0))))</f>
        <v/>
      </c>
      <c r="Y15" s="34"/>
      <c r="Z15" s="35" t="str">
        <f aca="false">IF($D15&lt;&gt;"Evet","",IF('1 AYAR'!$C$14="Sayı",MIN(Y15*'1 AYAR'!$D$14,'1 AYAR'!$E$14),IF('1 AYAR'!$C$14="Evet/Hayır",IF(OR(Y15="Var",Y15="Yapıldı",Y15="Evet"),'1 AYAR'!$E$14,0),IF(LEN(Y15)&gt;3,'1 AYAR'!$E$14,0))))</f>
        <v/>
      </c>
      <c r="AA15" s="36"/>
      <c r="AB15" s="35" t="str">
        <f aca="false">IF($D15&lt;&gt;"Evet","",IF('1 AYAR'!$C$15="Sayı",MIN(AA15*'1 AYAR'!$D$15,'1 AYAR'!$E$15),IF('1 AYAR'!$C$15="Evet/Hayır",IF(OR(AA15="Var",AA15="Yapıldı",AA15="Evet"),'1 AYAR'!$E$15,0),IF(LEN(AA15)&gt;3,'1 AYAR'!$E$15,0))))</f>
        <v/>
      </c>
      <c r="AC15" s="37" t="str">
        <f aca="false">IF($D15&lt;&gt;"Evet","",F15+H15+J15+L15+N15+P15+R15+T15+V15+X15+Z15+AB15)</f>
        <v/>
      </c>
      <c r="AD15" s="38" t="str">
        <f aca="false">IF($D15&lt;&gt;"Evet","",IF(AC15&gt;='1 AYAR'!$C$27,"A",IF(AC15&gt;='1 AYAR'!$C$28,"B",IF(AC15&gt;='1 AYAR'!$C$29,"C","D"))))</f>
        <v/>
      </c>
      <c r="AE15" s="39" t="str">
        <f aca="false">IF($D15&lt;&gt;"Evet","",AC15+ROW()/10000)</f>
        <v/>
      </c>
      <c r="AF15" s="40"/>
    </row>
    <row r="16" customFormat="false" ht="15" hidden="false" customHeight="false" outlineLevel="0" collapsed="false">
      <c r="A16" s="24" t="n">
        <f aca="false">IF($D16&lt;&gt;"Evet","",RANK(AC16,$AC$6:$AC$44,0))</f>
        <v>6</v>
      </c>
      <c r="B16" s="43" t="s">
        <v>211</v>
      </c>
      <c r="C16" s="41" t="s">
        <v>212</v>
      </c>
      <c r="D16" s="42" t="s">
        <v>202</v>
      </c>
      <c r="E16" s="34" t="n">
        <v>8</v>
      </c>
      <c r="F16" s="35" t="n">
        <f aca="false">IF($D16&lt;&gt;"Evet","",IF('1 AYAR'!$C$4="Sayı",MIN(E16*'1 AYAR'!$D$4,'1 AYAR'!$E$4),IF('1 AYAR'!$C$4="Evet/Hayır",IF(OR(E16="Var",E16="Yapıldı",E16="Evet"),'1 AYAR'!$E$4,0),IF(LEN(E16)&gt;3,'1 AYAR'!$E$4,0))))</f>
        <v>8</v>
      </c>
      <c r="G16" s="34" t="n">
        <v>4</v>
      </c>
      <c r="H16" s="35" t="n">
        <f aca="false">IF($D16&lt;&gt;"Evet","",IF('1 AYAR'!$C$5="Sayı",MIN(G16*'1 AYAR'!$D$5,'1 AYAR'!$E$5),IF('1 AYAR'!$C$5="Evet/Hayır",IF(OR(G16="Var",G16="Yapıldı",G16="Evet"),'1 AYAR'!$E$5,0),IF(LEN(G16)&gt;3,'1 AYAR'!$E$5,0))))</f>
        <v>10</v>
      </c>
      <c r="I16" s="34" t="s">
        <v>213</v>
      </c>
      <c r="J16" s="35" t="n">
        <f aca="false">IF($D16&lt;&gt;"Evet","",IF('1 AYAR'!$C$6="Sayı",MIN(I16*'1 AYAR'!$D$6,'1 AYAR'!$E$6),IF('1 AYAR'!$C$6="Evet/Hayır",IF(OR(I16="Var",I16="Yapıldı",I16="Evet"),'1 AYAR'!$E$6,0),IF(LEN(I16)&gt;3,'1 AYAR'!$E$6,0))))</f>
        <v>5</v>
      </c>
      <c r="K16" s="34" t="n">
        <v>20</v>
      </c>
      <c r="L16" s="35" t="n">
        <f aca="false">IF($D16&lt;&gt;"Evet","",IF('1 AYAR'!$C$7="Sayı",MIN(K16*'1 AYAR'!$D$7,'1 AYAR'!$E$7),IF('1 AYAR'!$C$7="Evet/Hayır",IF(OR(K16="Var",K16="Yapıldı",K16="Evet"),'1 AYAR'!$E$7,0),IF(LEN(K16)&gt;3,'1 AYAR'!$E$7,0))))</f>
        <v>10</v>
      </c>
      <c r="M16" s="34" t="n">
        <v>0</v>
      </c>
      <c r="N16" s="35" t="n">
        <f aca="false">IF($D16&lt;&gt;"Evet","",IF('1 AYAR'!$C$8="Sayı",MIN(M16*'1 AYAR'!$D$8,'1 AYAR'!$E$8),IF('1 AYAR'!$C$8="Evet/Hayır",IF(OR(M16="Var",M16="Yapıldı",M16="Evet"),'1 AYAR'!$E$8,0),IF(LEN(M16)&gt;3,'1 AYAR'!$E$8,0))))</f>
        <v>0</v>
      </c>
      <c r="O16" s="34" t="s">
        <v>204</v>
      </c>
      <c r="P16" s="35" t="n">
        <f aca="false">IF($D16&lt;&gt;"Evet","",IF('1 AYAR'!$C$9="Sayı",MIN(O16*'1 AYAR'!$D$9,'1 AYAR'!$E$9),IF('1 AYAR'!$C$9="Evet/Hayır",IF(OR(O16="Var",O16="Yapıldı",O16="Evet"),'1 AYAR'!$E$9,0),IF(LEN(O16)&gt;3,'1 AYAR'!$E$9,0))))</f>
        <v>0</v>
      </c>
      <c r="Q16" s="34" t="s">
        <v>204</v>
      </c>
      <c r="R16" s="35" t="n">
        <f aca="false">IF($D16&lt;&gt;"Evet","",IF('1 AYAR'!$C$10="Sayı",MIN(Q16*'1 AYAR'!$D$10,'1 AYAR'!$E$10),IF('1 AYAR'!$C$10="Evet/Hayır",IF(OR(Q16="Var",Q16="Yapıldı",Q16="Evet"),'1 AYAR'!$E$10,0),IF(LEN(Q16)&gt;3,'1 AYAR'!$E$10,0))))</f>
        <v>0</v>
      </c>
      <c r="S16" s="34" t="n">
        <v>0</v>
      </c>
      <c r="T16" s="35" t="n">
        <f aca="false">IF($D16&lt;&gt;"Evet","",IF('1 AYAR'!$C$11="Sayı",MIN(S16*'1 AYAR'!$D$11,'1 AYAR'!$E$11),IF('1 AYAR'!$C$11="Evet/Hayır",IF(OR(S16="Var",S16="Yapıldı",S16="Evet"),'1 AYAR'!$E$11,0),IF(LEN(S16)&gt;3,'1 AYAR'!$E$11,0))))</f>
        <v>0</v>
      </c>
      <c r="U16" s="34" t="n">
        <v>0</v>
      </c>
      <c r="V16" s="35" t="n">
        <f aca="false">IF($D16&lt;&gt;"Evet","",IF('1 AYAR'!$C$12="Sayı",MIN(U16*'1 AYAR'!$D$12,'1 AYAR'!$E$12),IF('1 AYAR'!$C$12="Evet/Hayır",IF(OR(U16="Var",U16="Yapıldı",U16="Evet"),'1 AYAR'!$E$12,0),IF(LEN(U16)&gt;3,'1 AYAR'!$E$12,0))))</f>
        <v>0</v>
      </c>
      <c r="W16" s="34" t="n">
        <v>1</v>
      </c>
      <c r="X16" s="35" t="n">
        <f aca="false">IF($D16&lt;&gt;"Evet","",IF('1 AYAR'!$C$13="Sayı",MIN(W16*'1 AYAR'!$D$13,'1 AYAR'!$E$13),IF('1 AYAR'!$C$13="Evet/Hayır",IF(OR(W16="Var",W16="Yapıldı",W16="Evet"),'1 AYAR'!$E$13,0),IF(LEN(W16)&gt;3,'1 AYAR'!$E$13,0))))</f>
        <v>1</v>
      </c>
      <c r="Y16" s="34" t="n">
        <v>2</v>
      </c>
      <c r="Z16" s="35" t="n">
        <f aca="false">IF($D16&lt;&gt;"Evet","",IF('1 AYAR'!$C$14="Sayı",MIN(Y16*'1 AYAR'!$D$14,'1 AYAR'!$E$14),IF('1 AYAR'!$C$14="Evet/Hayır",IF(OR(Y16="Var",Y16="Yapıldı",Y16="Evet"),'1 AYAR'!$E$14,0),IF(LEN(Y16)&gt;3,'1 AYAR'!$E$14,0))))</f>
        <v>2</v>
      </c>
      <c r="AA16" s="36"/>
      <c r="AB16" s="35" t="n">
        <f aca="false">IF($D16&lt;&gt;"Evet","",IF('1 AYAR'!$C$15="Sayı",MIN(AA16*'1 AYAR'!$D$15,'1 AYAR'!$E$15),IF('1 AYAR'!$C$15="Evet/Hayır",IF(OR(AA16="Var",AA16="Yapıldı",AA16="Evet"),'1 AYAR'!$E$15,0),IF(LEN(AA16)&gt;3,'1 AYAR'!$E$15,0))))</f>
        <v>0</v>
      </c>
      <c r="AC16" s="37" t="n">
        <f aca="false">IF($D16&lt;&gt;"Evet","",F16+H16+J16+L16+N16+P16+R16+T16+V16+X16+Z16+AB16)</f>
        <v>36</v>
      </c>
      <c r="AD16" s="38" t="str">
        <f aca="false">IF($D16&lt;&gt;"Evet","",IF(AC16&gt;='1 AYAR'!$C$27,"A",IF(AC16&gt;='1 AYAR'!$C$28,"B",IF(AC16&gt;='1 AYAR'!$C$29,"C","D"))))</f>
        <v>C</v>
      </c>
      <c r="AE16" s="39" t="n">
        <f aca="false">IF($D16&lt;&gt;"Evet","",AC16+ROW()/10000)</f>
        <v>36.0016</v>
      </c>
      <c r="AF16" s="40"/>
    </row>
    <row r="17" customFormat="false" ht="23.85" hidden="false" customHeight="false" outlineLevel="0" collapsed="false">
      <c r="A17" s="24" t="n">
        <f aca="false">IF($D17&lt;&gt;"Evet","",RANK(AC17,$AC$6:$AC$44,0))</f>
        <v>1</v>
      </c>
      <c r="B17" s="43" t="s">
        <v>211</v>
      </c>
      <c r="C17" s="41" t="s">
        <v>214</v>
      </c>
      <c r="D17" s="42" t="s">
        <v>202</v>
      </c>
      <c r="E17" s="34" t="n">
        <v>20</v>
      </c>
      <c r="F17" s="35" t="n">
        <f aca="false">IF($D17&lt;&gt;"Evet","",IF('1 AYAR'!$C$4="Sayı",MIN(E17*'1 AYAR'!$D$4,'1 AYAR'!$E$4),IF('1 AYAR'!$C$4="Evet/Hayır",IF(OR(E17="Var",E17="Yapıldı",E17="Evet"),'1 AYAR'!$E$4,0),IF(LEN(E17)&gt;3,'1 AYAR'!$E$4,0))))</f>
        <v>20</v>
      </c>
      <c r="G17" s="34" t="n">
        <v>4</v>
      </c>
      <c r="H17" s="35" t="n">
        <f aca="false">IF($D17&lt;&gt;"Evet","",IF('1 AYAR'!$C$5="Sayı",MIN(G17*'1 AYAR'!$D$5,'1 AYAR'!$E$5),IF('1 AYAR'!$C$5="Evet/Hayır",IF(OR(G17="Var",G17="Yapıldı",G17="Evet"),'1 AYAR'!$E$5,0),IF(LEN(G17)&gt;3,'1 AYAR'!$E$5,0))))</f>
        <v>10</v>
      </c>
      <c r="I17" s="34" t="s">
        <v>203</v>
      </c>
      <c r="J17" s="35" t="n">
        <f aca="false">IF($D17&lt;&gt;"Evet","",IF('1 AYAR'!$C$6="Sayı",MIN(I17*'1 AYAR'!$D$6,'1 AYAR'!$E$6),IF('1 AYAR'!$C$6="Evet/Hayır",IF(OR(I17="Var",I17="Yapıldı",I17="Evet"),'1 AYAR'!$E$6,0),IF(LEN(I17)&gt;3,'1 AYAR'!$E$6,0))))</f>
        <v>0</v>
      </c>
      <c r="K17" s="34" t="n">
        <v>20</v>
      </c>
      <c r="L17" s="35" t="n">
        <f aca="false">IF($D17&lt;&gt;"Evet","",IF('1 AYAR'!$C$7="Sayı",MIN(K17*'1 AYAR'!$D$7,'1 AYAR'!$E$7),IF('1 AYAR'!$C$7="Evet/Hayır",IF(OR(K17="Var",K17="Yapıldı",K17="Evet"),'1 AYAR'!$E$7,0),IF(LEN(K17)&gt;3,'1 AYAR'!$E$7,0))))</f>
        <v>10</v>
      </c>
      <c r="M17" s="34" t="n">
        <v>10</v>
      </c>
      <c r="N17" s="35" t="n">
        <f aca="false">IF($D17&lt;&gt;"Evet","",IF('1 AYAR'!$C$8="Sayı",MIN(M17*'1 AYAR'!$D$8,'1 AYAR'!$E$8),IF('1 AYAR'!$C$8="Evet/Hayır",IF(OR(M17="Var",M17="Yapıldı",M17="Evet"),'1 AYAR'!$E$8,0),IF(LEN(M17)&gt;3,'1 AYAR'!$E$8,0))))</f>
        <v>10</v>
      </c>
      <c r="O17" s="34" t="s">
        <v>204</v>
      </c>
      <c r="P17" s="35" t="n">
        <f aca="false">IF($D17&lt;&gt;"Evet","",IF('1 AYAR'!$C$9="Sayı",MIN(O17*'1 AYAR'!$D$9,'1 AYAR'!$E$9),IF('1 AYAR'!$C$9="Evet/Hayır",IF(OR(O17="Var",O17="Yapıldı",O17="Evet"),'1 AYAR'!$E$9,0),IF(LEN(O17)&gt;3,'1 AYAR'!$E$9,0))))</f>
        <v>0</v>
      </c>
      <c r="Q17" s="34" t="s">
        <v>204</v>
      </c>
      <c r="R17" s="35" t="n">
        <f aca="false">IF($D17&lt;&gt;"Evet","",IF('1 AYAR'!$C$10="Sayı",MIN(Q17*'1 AYAR'!$D$10,'1 AYAR'!$E$10),IF('1 AYAR'!$C$10="Evet/Hayır",IF(OR(Q17="Var",Q17="Yapıldı",Q17="Evet"),'1 AYAR'!$E$10,0),IF(LEN(Q17)&gt;3,'1 AYAR'!$E$10,0))))</f>
        <v>0</v>
      </c>
      <c r="S17" s="34" t="n">
        <v>2</v>
      </c>
      <c r="T17" s="35" t="n">
        <f aca="false">IF($D17&lt;&gt;"Evet","",IF('1 AYAR'!$C$11="Sayı",MIN(S17*'1 AYAR'!$D$11,'1 AYAR'!$E$11),IF('1 AYAR'!$C$11="Evet/Hayır",IF(OR(S17="Var",S17="Yapıldı",S17="Evet"),'1 AYAR'!$E$11,0),IF(LEN(S17)&gt;3,'1 AYAR'!$E$11,0))))</f>
        <v>2</v>
      </c>
      <c r="U17" s="34" t="n">
        <v>2</v>
      </c>
      <c r="V17" s="35" t="n">
        <f aca="false">IF($D17&lt;&gt;"Evet","",IF('1 AYAR'!$C$12="Sayı",MIN(U17*'1 AYAR'!$D$12,'1 AYAR'!$E$12),IF('1 AYAR'!$C$12="Evet/Hayır",IF(OR(U17="Var",U17="Yapıldı",U17="Evet"),'1 AYAR'!$E$12,0),IF(LEN(U17)&gt;3,'1 AYAR'!$E$12,0))))</f>
        <v>2</v>
      </c>
      <c r="W17" s="34" t="n">
        <v>0</v>
      </c>
      <c r="X17" s="35" t="n">
        <f aca="false">IF($D17&lt;&gt;"Evet","",IF('1 AYAR'!$C$13="Sayı",MIN(W17*'1 AYAR'!$D$13,'1 AYAR'!$E$13),IF('1 AYAR'!$C$13="Evet/Hayır",IF(OR(W17="Var",W17="Yapıldı",W17="Evet"),'1 AYAR'!$E$13,0),IF(LEN(W17)&gt;3,'1 AYAR'!$E$13,0))))</f>
        <v>0</v>
      </c>
      <c r="Y17" s="34" t="n">
        <v>4</v>
      </c>
      <c r="Z17" s="35" t="n">
        <f aca="false">IF($D17&lt;&gt;"Evet","",IF('1 AYAR'!$C$14="Sayı",MIN(Y17*'1 AYAR'!$D$14,'1 AYAR'!$E$14),IF('1 AYAR'!$C$14="Evet/Hayır",IF(OR(Y17="Var",Y17="Yapıldı",Y17="Evet"),'1 AYAR'!$E$14,0),IF(LEN(Y17)&gt;3,'1 AYAR'!$E$14,0))))</f>
        <v>4</v>
      </c>
      <c r="AA17" s="36" t="s">
        <v>215</v>
      </c>
      <c r="AB17" s="35" t="n">
        <f aca="false">IF($D17&lt;&gt;"Evet","",IF('1 AYAR'!$C$15="Sayı",MIN(AA17*'1 AYAR'!$D$15,'1 AYAR'!$E$15),IF('1 AYAR'!$C$15="Evet/Hayır",IF(OR(AA17="Var",AA17="Yapıldı",AA17="Evet"),'1 AYAR'!$E$15,0),IF(LEN(AA17)&gt;3,'1 AYAR'!$E$15,0))))</f>
        <v>5</v>
      </c>
      <c r="AC17" s="37" t="n">
        <f aca="false">IF($D17&lt;&gt;"Evet","",F17+H17+J17+L17+N17+P17+R17+T17+V17+X17+Z17+AB17)</f>
        <v>63</v>
      </c>
      <c r="AD17" s="38" t="str">
        <f aca="false">IF($D17&lt;&gt;"Evet","",IF(AC17&gt;='1 AYAR'!$C$27,"A",IF(AC17&gt;='1 AYAR'!$C$28,"B",IF(AC17&gt;='1 AYAR'!$C$29,"C","D"))))</f>
        <v>B</v>
      </c>
      <c r="AE17" s="39" t="n">
        <f aca="false">IF($D17&lt;&gt;"Evet","",AC17+ROW()/10000)</f>
        <v>63.0017</v>
      </c>
      <c r="AF17" s="40"/>
    </row>
    <row r="18" customFormat="false" ht="15" hidden="false" customHeight="false" outlineLevel="0" collapsed="false">
      <c r="A18" s="24" t="n">
        <f aca="false">IF($D18&lt;&gt;"Evet","",RANK(AC18,$AC$6:$AC$44,0))</f>
        <v>2</v>
      </c>
      <c r="B18" s="43" t="s">
        <v>211</v>
      </c>
      <c r="C18" s="41" t="s">
        <v>216</v>
      </c>
      <c r="D18" s="42" t="s">
        <v>202</v>
      </c>
      <c r="E18" s="34" t="n">
        <v>10</v>
      </c>
      <c r="F18" s="35" t="n">
        <f aca="false">IF($D18&lt;&gt;"Evet","",IF('1 AYAR'!$C$4="Sayı",MIN(E18*'1 AYAR'!$D$4,'1 AYAR'!$E$4),IF('1 AYAR'!$C$4="Evet/Hayır",IF(OR(E18="Var",E18="Yapıldı",E18="Evet"),'1 AYAR'!$E$4,0),IF(LEN(E18)&gt;3,'1 AYAR'!$E$4,0))))</f>
        <v>10</v>
      </c>
      <c r="G18" s="34" t="n">
        <v>3</v>
      </c>
      <c r="H18" s="35" t="n">
        <f aca="false">IF($D18&lt;&gt;"Evet","",IF('1 AYAR'!$C$5="Sayı",MIN(G18*'1 AYAR'!$D$5,'1 AYAR'!$E$5),IF('1 AYAR'!$C$5="Evet/Hayır",IF(OR(G18="Var",G18="Yapıldı",G18="Evet"),'1 AYAR'!$E$5,0),IF(LEN(G18)&gt;3,'1 AYAR'!$E$5,0))))</f>
        <v>7.5</v>
      </c>
      <c r="I18" s="34" t="s">
        <v>213</v>
      </c>
      <c r="J18" s="35" t="n">
        <f aca="false">IF($D18&lt;&gt;"Evet","",IF('1 AYAR'!$C$6="Sayı",MIN(I18*'1 AYAR'!$D$6,'1 AYAR'!$E$6),IF('1 AYAR'!$C$6="Evet/Hayır",IF(OR(I18="Var",I18="Yapıldı",I18="Evet"),'1 AYAR'!$E$6,0),IF(LEN(I18)&gt;3,'1 AYAR'!$E$6,0))))</f>
        <v>5</v>
      </c>
      <c r="K18" s="34" t="n">
        <v>15</v>
      </c>
      <c r="L18" s="35" t="n">
        <f aca="false">IF($D18&lt;&gt;"Evet","",IF('1 AYAR'!$C$7="Sayı",MIN(K18*'1 AYAR'!$D$7,'1 AYAR'!$E$7),IF('1 AYAR'!$C$7="Evet/Hayır",IF(OR(K18="Var",K18="Yapıldı",K18="Evet"),'1 AYAR'!$E$7,0),IF(LEN(K18)&gt;3,'1 AYAR'!$E$7,0))))</f>
        <v>7.5</v>
      </c>
      <c r="M18" s="34" t="n">
        <v>2</v>
      </c>
      <c r="N18" s="35" t="n">
        <f aca="false">IF($D18&lt;&gt;"Evet","",IF('1 AYAR'!$C$8="Sayı",MIN(M18*'1 AYAR'!$D$8,'1 AYAR'!$E$8),IF('1 AYAR'!$C$8="Evet/Hayır",IF(OR(M18="Var",M18="Yapıldı",M18="Evet"),'1 AYAR'!$E$8,0),IF(LEN(M18)&gt;3,'1 AYAR'!$E$8,0))))</f>
        <v>2</v>
      </c>
      <c r="O18" s="34" t="s">
        <v>204</v>
      </c>
      <c r="P18" s="35" t="n">
        <f aca="false">IF($D18&lt;&gt;"Evet","",IF('1 AYAR'!$C$9="Sayı",MIN(O18*'1 AYAR'!$D$9,'1 AYAR'!$E$9),IF('1 AYAR'!$C$9="Evet/Hayır",IF(OR(O18="Var",O18="Yapıldı",O18="Evet"),'1 AYAR'!$E$9,0),IF(LEN(O18)&gt;3,'1 AYAR'!$E$9,0))))</f>
        <v>0</v>
      </c>
      <c r="Q18" s="34" t="s">
        <v>205</v>
      </c>
      <c r="R18" s="35" t="n">
        <f aca="false">IF($D18&lt;&gt;"Evet","",IF('1 AYAR'!$C$10="Sayı",MIN(Q18*'1 AYAR'!$D$10,'1 AYAR'!$E$10),IF('1 AYAR'!$C$10="Evet/Hayır",IF(OR(Q18="Var",Q18="Yapıldı",Q18="Evet"),'1 AYAR'!$E$10,0),IF(LEN(Q18)&gt;3,'1 AYAR'!$E$10,0))))</f>
        <v>10</v>
      </c>
      <c r="S18" s="34" t="n">
        <v>0</v>
      </c>
      <c r="T18" s="35" t="n">
        <f aca="false">IF($D18&lt;&gt;"Evet","",IF('1 AYAR'!$C$11="Sayı",MIN(S18*'1 AYAR'!$D$11,'1 AYAR'!$E$11),IF('1 AYAR'!$C$11="Evet/Hayır",IF(OR(S18="Var",S18="Yapıldı",S18="Evet"),'1 AYAR'!$E$11,0),IF(LEN(S18)&gt;3,'1 AYAR'!$E$11,0))))</f>
        <v>0</v>
      </c>
      <c r="U18" s="34" t="n">
        <v>1</v>
      </c>
      <c r="V18" s="35" t="n">
        <f aca="false">IF($D18&lt;&gt;"Evet","",IF('1 AYAR'!$C$12="Sayı",MIN(U18*'1 AYAR'!$D$12,'1 AYAR'!$E$12),IF('1 AYAR'!$C$12="Evet/Hayır",IF(OR(U18="Var",U18="Yapıldı",U18="Evet"),'1 AYAR'!$E$12,0),IF(LEN(U18)&gt;3,'1 AYAR'!$E$12,0))))</f>
        <v>1</v>
      </c>
      <c r="W18" s="34" t="n">
        <v>5</v>
      </c>
      <c r="X18" s="35" t="n">
        <f aca="false">IF($D18&lt;&gt;"Evet","",IF('1 AYAR'!$C$13="Sayı",MIN(W18*'1 AYAR'!$D$13,'1 AYAR'!$E$13),IF('1 AYAR'!$C$13="Evet/Hayır",IF(OR(W18="Var",W18="Yapıldı",W18="Evet"),'1 AYAR'!$E$13,0),IF(LEN(W18)&gt;3,'1 AYAR'!$E$13,0))))</f>
        <v>5</v>
      </c>
      <c r="Y18" s="34" t="n">
        <v>6</v>
      </c>
      <c r="Z18" s="35" t="n">
        <f aca="false">IF($D18&lt;&gt;"Evet","",IF('1 AYAR'!$C$14="Sayı",MIN(Y18*'1 AYAR'!$D$14,'1 AYAR'!$E$14),IF('1 AYAR'!$C$14="Evet/Hayır",IF(OR(Y18="Var",Y18="Yapıldı",Y18="Evet"),'1 AYAR'!$E$14,0),IF(LEN(Y18)&gt;3,'1 AYAR'!$E$14,0))))</f>
        <v>5</v>
      </c>
      <c r="AA18" s="36" t="s">
        <v>217</v>
      </c>
      <c r="AB18" s="35" t="n">
        <f aca="false">IF($D18&lt;&gt;"Evet","",IF('1 AYAR'!$C$15="Sayı",MIN(AA18*'1 AYAR'!$D$15,'1 AYAR'!$E$15),IF('1 AYAR'!$C$15="Evet/Hayır",IF(OR(AA18="Var",AA18="Yapıldı",AA18="Evet"),'1 AYAR'!$E$15,0),IF(LEN(AA18)&gt;3,'1 AYAR'!$E$15,0))))</f>
        <v>5</v>
      </c>
      <c r="AC18" s="37" t="n">
        <f aca="false">IF($D18&lt;&gt;"Evet","",F18+H18+J18+L18+N18+P18+R18+T18+V18+X18+Z18+AB18)</f>
        <v>58</v>
      </c>
      <c r="AD18" s="38" t="str">
        <f aca="false">IF($D18&lt;&gt;"Evet","",IF(AC18&gt;='1 AYAR'!$C$27,"A",IF(AC18&gt;='1 AYAR'!$C$28,"B",IF(AC18&gt;='1 AYAR'!$C$29,"C","D"))))</f>
        <v>B</v>
      </c>
      <c r="AE18" s="39" t="n">
        <f aca="false">IF($D18&lt;&gt;"Evet","",AC18+ROW()/10000)</f>
        <v>58.0018</v>
      </c>
      <c r="AF18" s="40"/>
    </row>
    <row r="19" customFormat="false" ht="15" hidden="false" customHeight="false" outlineLevel="0" collapsed="false">
      <c r="A19" s="24" t="str">
        <f aca="false">IF($D19&lt;&gt;"Evet","",RANK(AC19,$AC$6:$AC$44,0))</f>
        <v/>
      </c>
      <c r="B19" s="43" t="s">
        <v>211</v>
      </c>
      <c r="C19" s="32" t="s">
        <v>218</v>
      </c>
      <c r="D19" s="33" t="s">
        <v>196</v>
      </c>
      <c r="E19" s="34"/>
      <c r="F19" s="35" t="str">
        <f aca="false">IF($D19&lt;&gt;"Evet","",IF('1 AYAR'!$C$4="Sayı",MIN(E19*'1 AYAR'!$D$4,'1 AYAR'!$E$4),IF('1 AYAR'!$C$4="Evet/Hayır",IF(OR(E19="Var",E19="Yapıldı",E19="Evet"),'1 AYAR'!$E$4,0),IF(LEN(E19)&gt;3,'1 AYAR'!$E$4,0))))</f>
        <v/>
      </c>
      <c r="G19" s="34"/>
      <c r="H19" s="35" t="str">
        <f aca="false">IF($D19&lt;&gt;"Evet","",IF('1 AYAR'!$C$5="Sayı",MIN(G19*'1 AYAR'!$D$5,'1 AYAR'!$E$5),IF('1 AYAR'!$C$5="Evet/Hayır",IF(OR(G19="Var",G19="Yapıldı",G19="Evet"),'1 AYAR'!$E$5,0),IF(LEN(G19)&gt;3,'1 AYAR'!$E$5,0))))</f>
        <v/>
      </c>
      <c r="I19" s="34"/>
      <c r="J19" s="35" t="str">
        <f aca="false">IF($D19&lt;&gt;"Evet","",IF('1 AYAR'!$C$6="Sayı",MIN(I19*'1 AYAR'!$D$6,'1 AYAR'!$E$6),IF('1 AYAR'!$C$6="Evet/Hayır",IF(OR(I19="Var",I19="Yapıldı",I19="Evet"),'1 AYAR'!$E$6,0),IF(LEN(I19)&gt;3,'1 AYAR'!$E$6,0))))</f>
        <v/>
      </c>
      <c r="K19" s="34"/>
      <c r="L19" s="35" t="str">
        <f aca="false">IF($D19&lt;&gt;"Evet","",IF('1 AYAR'!$C$7="Sayı",MIN(K19*'1 AYAR'!$D$7,'1 AYAR'!$E$7),IF('1 AYAR'!$C$7="Evet/Hayır",IF(OR(K19="Var",K19="Yapıldı",K19="Evet"),'1 AYAR'!$E$7,0),IF(LEN(K19)&gt;3,'1 AYAR'!$E$7,0))))</f>
        <v/>
      </c>
      <c r="M19" s="34"/>
      <c r="N19" s="35" t="str">
        <f aca="false">IF($D19&lt;&gt;"Evet","",IF('1 AYAR'!$C$8="Sayı",MIN(M19*'1 AYAR'!$D$8,'1 AYAR'!$E$8),IF('1 AYAR'!$C$8="Evet/Hayır",IF(OR(M19="Var",M19="Yapıldı",M19="Evet"),'1 AYAR'!$E$8,0),IF(LEN(M19)&gt;3,'1 AYAR'!$E$8,0))))</f>
        <v/>
      </c>
      <c r="O19" s="34"/>
      <c r="P19" s="35" t="str">
        <f aca="false">IF($D19&lt;&gt;"Evet","",IF('1 AYAR'!$C$9="Sayı",MIN(O19*'1 AYAR'!$D$9,'1 AYAR'!$E$9),IF('1 AYAR'!$C$9="Evet/Hayır",IF(OR(O19="Var",O19="Yapıldı",O19="Evet"),'1 AYAR'!$E$9,0),IF(LEN(O19)&gt;3,'1 AYAR'!$E$9,0))))</f>
        <v/>
      </c>
      <c r="Q19" s="34"/>
      <c r="R19" s="35" t="str">
        <f aca="false">IF($D19&lt;&gt;"Evet","",IF('1 AYAR'!$C$10="Sayı",MIN(Q19*'1 AYAR'!$D$10,'1 AYAR'!$E$10),IF('1 AYAR'!$C$10="Evet/Hayır",IF(OR(Q19="Var",Q19="Yapıldı",Q19="Evet"),'1 AYAR'!$E$10,0),IF(LEN(Q19)&gt;3,'1 AYAR'!$E$10,0))))</f>
        <v/>
      </c>
      <c r="S19" s="34"/>
      <c r="T19" s="35" t="str">
        <f aca="false">IF($D19&lt;&gt;"Evet","",IF('1 AYAR'!$C$11="Sayı",MIN(S19*'1 AYAR'!$D$11,'1 AYAR'!$E$11),IF('1 AYAR'!$C$11="Evet/Hayır",IF(OR(S19="Var",S19="Yapıldı",S19="Evet"),'1 AYAR'!$E$11,0),IF(LEN(S19)&gt;3,'1 AYAR'!$E$11,0))))</f>
        <v/>
      </c>
      <c r="U19" s="34"/>
      <c r="V19" s="35" t="str">
        <f aca="false">IF($D19&lt;&gt;"Evet","",IF('1 AYAR'!$C$12="Sayı",MIN(U19*'1 AYAR'!$D$12,'1 AYAR'!$E$12),IF('1 AYAR'!$C$12="Evet/Hayır",IF(OR(U19="Var",U19="Yapıldı",U19="Evet"),'1 AYAR'!$E$12,0),IF(LEN(U19)&gt;3,'1 AYAR'!$E$12,0))))</f>
        <v/>
      </c>
      <c r="W19" s="34"/>
      <c r="X19" s="35" t="str">
        <f aca="false">IF($D19&lt;&gt;"Evet","",IF('1 AYAR'!$C$13="Sayı",MIN(W19*'1 AYAR'!$D$13,'1 AYAR'!$E$13),IF('1 AYAR'!$C$13="Evet/Hayır",IF(OR(W19="Var",W19="Yapıldı",W19="Evet"),'1 AYAR'!$E$13,0),IF(LEN(W19)&gt;3,'1 AYAR'!$E$13,0))))</f>
        <v/>
      </c>
      <c r="Y19" s="34"/>
      <c r="Z19" s="35" t="str">
        <f aca="false">IF($D19&lt;&gt;"Evet","",IF('1 AYAR'!$C$14="Sayı",MIN(Y19*'1 AYAR'!$D$14,'1 AYAR'!$E$14),IF('1 AYAR'!$C$14="Evet/Hayır",IF(OR(Y19="Var",Y19="Yapıldı",Y19="Evet"),'1 AYAR'!$E$14,0),IF(LEN(Y19)&gt;3,'1 AYAR'!$E$14,0))))</f>
        <v/>
      </c>
      <c r="AA19" s="36"/>
      <c r="AB19" s="35" t="str">
        <f aca="false">IF($D19&lt;&gt;"Evet","",IF('1 AYAR'!$C$15="Sayı",MIN(AA19*'1 AYAR'!$D$15,'1 AYAR'!$E$15),IF('1 AYAR'!$C$15="Evet/Hayır",IF(OR(AA19="Var",AA19="Yapıldı",AA19="Evet"),'1 AYAR'!$E$15,0),IF(LEN(AA19)&gt;3,'1 AYAR'!$E$15,0))))</f>
        <v/>
      </c>
      <c r="AC19" s="37" t="str">
        <f aca="false">IF($D19&lt;&gt;"Evet","",F19+H19+J19+L19+N19+P19+R19+T19+V19+X19+Z19+AB19)</f>
        <v/>
      </c>
      <c r="AD19" s="38" t="str">
        <f aca="false">IF($D19&lt;&gt;"Evet","",IF(AC19&gt;='1 AYAR'!$C$27,"A",IF(AC19&gt;='1 AYAR'!$C$28,"B",IF(AC19&gt;='1 AYAR'!$C$29,"C","D"))))</f>
        <v/>
      </c>
      <c r="AE19" s="39" t="str">
        <f aca="false">IF($D19&lt;&gt;"Evet","",AC19+ROW()/10000)</f>
        <v/>
      </c>
      <c r="AF19" s="40"/>
    </row>
    <row r="20" customFormat="false" ht="15" hidden="false" customHeight="false" outlineLevel="0" collapsed="false">
      <c r="A20" s="24" t="str">
        <f aca="false">IF($D20&lt;&gt;"Evet","",RANK(AC20,$AC$6:$AC$44,0))</f>
        <v/>
      </c>
      <c r="B20" s="43" t="s">
        <v>211</v>
      </c>
      <c r="C20" s="32" t="s">
        <v>219</v>
      </c>
      <c r="D20" s="33" t="s">
        <v>196</v>
      </c>
      <c r="E20" s="34"/>
      <c r="F20" s="35" t="str">
        <f aca="false">IF($D20&lt;&gt;"Evet","",IF('1 AYAR'!$C$4="Sayı",MIN(E20*'1 AYAR'!$D$4,'1 AYAR'!$E$4),IF('1 AYAR'!$C$4="Evet/Hayır",IF(OR(E20="Var",E20="Yapıldı",E20="Evet"),'1 AYAR'!$E$4,0),IF(LEN(E20)&gt;3,'1 AYAR'!$E$4,0))))</f>
        <v/>
      </c>
      <c r="G20" s="34"/>
      <c r="H20" s="35" t="str">
        <f aca="false">IF($D20&lt;&gt;"Evet","",IF('1 AYAR'!$C$5="Sayı",MIN(G20*'1 AYAR'!$D$5,'1 AYAR'!$E$5),IF('1 AYAR'!$C$5="Evet/Hayır",IF(OR(G20="Var",G20="Yapıldı",G20="Evet"),'1 AYAR'!$E$5,0),IF(LEN(G20)&gt;3,'1 AYAR'!$E$5,0))))</f>
        <v/>
      </c>
      <c r="I20" s="34"/>
      <c r="J20" s="35" t="str">
        <f aca="false">IF($D20&lt;&gt;"Evet","",IF('1 AYAR'!$C$6="Sayı",MIN(I20*'1 AYAR'!$D$6,'1 AYAR'!$E$6),IF('1 AYAR'!$C$6="Evet/Hayır",IF(OR(I20="Var",I20="Yapıldı",I20="Evet"),'1 AYAR'!$E$6,0),IF(LEN(I20)&gt;3,'1 AYAR'!$E$6,0))))</f>
        <v/>
      </c>
      <c r="K20" s="34"/>
      <c r="L20" s="35" t="str">
        <f aca="false">IF($D20&lt;&gt;"Evet","",IF('1 AYAR'!$C$7="Sayı",MIN(K20*'1 AYAR'!$D$7,'1 AYAR'!$E$7),IF('1 AYAR'!$C$7="Evet/Hayır",IF(OR(K20="Var",K20="Yapıldı",K20="Evet"),'1 AYAR'!$E$7,0),IF(LEN(K20)&gt;3,'1 AYAR'!$E$7,0))))</f>
        <v/>
      </c>
      <c r="M20" s="34"/>
      <c r="N20" s="35" t="str">
        <f aca="false">IF($D20&lt;&gt;"Evet","",IF('1 AYAR'!$C$8="Sayı",MIN(M20*'1 AYAR'!$D$8,'1 AYAR'!$E$8),IF('1 AYAR'!$C$8="Evet/Hayır",IF(OR(M20="Var",M20="Yapıldı",M20="Evet"),'1 AYAR'!$E$8,0),IF(LEN(M20)&gt;3,'1 AYAR'!$E$8,0))))</f>
        <v/>
      </c>
      <c r="O20" s="34"/>
      <c r="P20" s="35" t="str">
        <f aca="false">IF($D20&lt;&gt;"Evet","",IF('1 AYAR'!$C$9="Sayı",MIN(O20*'1 AYAR'!$D$9,'1 AYAR'!$E$9),IF('1 AYAR'!$C$9="Evet/Hayır",IF(OR(O20="Var",O20="Yapıldı",O20="Evet"),'1 AYAR'!$E$9,0),IF(LEN(O20)&gt;3,'1 AYAR'!$E$9,0))))</f>
        <v/>
      </c>
      <c r="Q20" s="34"/>
      <c r="R20" s="35" t="str">
        <f aca="false">IF($D20&lt;&gt;"Evet","",IF('1 AYAR'!$C$10="Sayı",MIN(Q20*'1 AYAR'!$D$10,'1 AYAR'!$E$10),IF('1 AYAR'!$C$10="Evet/Hayır",IF(OR(Q20="Var",Q20="Yapıldı",Q20="Evet"),'1 AYAR'!$E$10,0),IF(LEN(Q20)&gt;3,'1 AYAR'!$E$10,0))))</f>
        <v/>
      </c>
      <c r="S20" s="34"/>
      <c r="T20" s="35" t="str">
        <f aca="false">IF($D20&lt;&gt;"Evet","",IF('1 AYAR'!$C$11="Sayı",MIN(S20*'1 AYAR'!$D$11,'1 AYAR'!$E$11),IF('1 AYAR'!$C$11="Evet/Hayır",IF(OR(S20="Var",S20="Yapıldı",S20="Evet"),'1 AYAR'!$E$11,0),IF(LEN(S20)&gt;3,'1 AYAR'!$E$11,0))))</f>
        <v/>
      </c>
      <c r="U20" s="34"/>
      <c r="V20" s="35" t="str">
        <f aca="false">IF($D20&lt;&gt;"Evet","",IF('1 AYAR'!$C$12="Sayı",MIN(U20*'1 AYAR'!$D$12,'1 AYAR'!$E$12),IF('1 AYAR'!$C$12="Evet/Hayır",IF(OR(U20="Var",U20="Yapıldı",U20="Evet"),'1 AYAR'!$E$12,0),IF(LEN(U20)&gt;3,'1 AYAR'!$E$12,0))))</f>
        <v/>
      </c>
      <c r="W20" s="34"/>
      <c r="X20" s="35" t="str">
        <f aca="false">IF($D20&lt;&gt;"Evet","",IF('1 AYAR'!$C$13="Sayı",MIN(W20*'1 AYAR'!$D$13,'1 AYAR'!$E$13),IF('1 AYAR'!$C$13="Evet/Hayır",IF(OR(W20="Var",W20="Yapıldı",W20="Evet"),'1 AYAR'!$E$13,0),IF(LEN(W20)&gt;3,'1 AYAR'!$E$13,0))))</f>
        <v/>
      </c>
      <c r="Y20" s="34"/>
      <c r="Z20" s="35" t="str">
        <f aca="false">IF($D20&lt;&gt;"Evet","",IF('1 AYAR'!$C$14="Sayı",MIN(Y20*'1 AYAR'!$D$14,'1 AYAR'!$E$14),IF('1 AYAR'!$C$14="Evet/Hayır",IF(OR(Y20="Var",Y20="Yapıldı",Y20="Evet"),'1 AYAR'!$E$14,0),IF(LEN(Y20)&gt;3,'1 AYAR'!$E$14,0))))</f>
        <v/>
      </c>
      <c r="AA20" s="36"/>
      <c r="AB20" s="35" t="str">
        <f aca="false">IF($D20&lt;&gt;"Evet","",IF('1 AYAR'!$C$15="Sayı",MIN(AA20*'1 AYAR'!$D$15,'1 AYAR'!$E$15),IF('1 AYAR'!$C$15="Evet/Hayır",IF(OR(AA20="Var",AA20="Yapıldı",AA20="Evet"),'1 AYAR'!$E$15,0),IF(LEN(AA20)&gt;3,'1 AYAR'!$E$15,0))))</f>
        <v/>
      </c>
      <c r="AC20" s="37" t="str">
        <f aca="false">IF($D20&lt;&gt;"Evet","",F20+H20+J20+L20+N20+P20+R20+T20+V20+X20+Z20+AB20)</f>
        <v/>
      </c>
      <c r="AD20" s="38" t="str">
        <f aca="false">IF($D20&lt;&gt;"Evet","",IF(AC20&gt;='1 AYAR'!$C$27,"A",IF(AC20&gt;='1 AYAR'!$C$28,"B",IF(AC20&gt;='1 AYAR'!$C$29,"C","D"))))</f>
        <v/>
      </c>
      <c r="AE20" s="39" t="str">
        <f aca="false">IF($D20&lt;&gt;"Evet","",AC20+ROW()/10000)</f>
        <v/>
      </c>
      <c r="AF20" s="40"/>
    </row>
    <row r="21" customFormat="false" ht="15" hidden="false" customHeight="false" outlineLevel="0" collapsed="false">
      <c r="A21" s="24" t="str">
        <f aca="false">IF($D21&lt;&gt;"Evet","",RANK(AC21,$AC$6:$AC$44,0))</f>
        <v/>
      </c>
      <c r="B21" s="43" t="s">
        <v>211</v>
      </c>
      <c r="C21" s="32" t="s">
        <v>220</v>
      </c>
      <c r="D21" s="33" t="s">
        <v>196</v>
      </c>
      <c r="E21" s="34"/>
      <c r="F21" s="35" t="str">
        <f aca="false">IF($D21&lt;&gt;"Evet","",IF('1 AYAR'!$C$4="Sayı",MIN(E21*'1 AYAR'!$D$4,'1 AYAR'!$E$4),IF('1 AYAR'!$C$4="Evet/Hayır",IF(OR(E21="Var",E21="Yapıldı",E21="Evet"),'1 AYAR'!$E$4,0),IF(LEN(E21)&gt;3,'1 AYAR'!$E$4,0))))</f>
        <v/>
      </c>
      <c r="G21" s="34"/>
      <c r="H21" s="35" t="str">
        <f aca="false">IF($D21&lt;&gt;"Evet","",IF('1 AYAR'!$C$5="Sayı",MIN(G21*'1 AYAR'!$D$5,'1 AYAR'!$E$5),IF('1 AYAR'!$C$5="Evet/Hayır",IF(OR(G21="Var",G21="Yapıldı",G21="Evet"),'1 AYAR'!$E$5,0),IF(LEN(G21)&gt;3,'1 AYAR'!$E$5,0))))</f>
        <v/>
      </c>
      <c r="I21" s="34"/>
      <c r="J21" s="35" t="str">
        <f aca="false">IF($D21&lt;&gt;"Evet","",IF('1 AYAR'!$C$6="Sayı",MIN(I21*'1 AYAR'!$D$6,'1 AYAR'!$E$6),IF('1 AYAR'!$C$6="Evet/Hayır",IF(OR(I21="Var",I21="Yapıldı",I21="Evet"),'1 AYAR'!$E$6,0),IF(LEN(I21)&gt;3,'1 AYAR'!$E$6,0))))</f>
        <v/>
      </c>
      <c r="K21" s="34"/>
      <c r="L21" s="35" t="str">
        <f aca="false">IF($D21&lt;&gt;"Evet","",IF('1 AYAR'!$C$7="Sayı",MIN(K21*'1 AYAR'!$D$7,'1 AYAR'!$E$7),IF('1 AYAR'!$C$7="Evet/Hayır",IF(OR(K21="Var",K21="Yapıldı",K21="Evet"),'1 AYAR'!$E$7,0),IF(LEN(K21)&gt;3,'1 AYAR'!$E$7,0))))</f>
        <v/>
      </c>
      <c r="M21" s="34"/>
      <c r="N21" s="35" t="str">
        <f aca="false">IF($D21&lt;&gt;"Evet","",IF('1 AYAR'!$C$8="Sayı",MIN(M21*'1 AYAR'!$D$8,'1 AYAR'!$E$8),IF('1 AYAR'!$C$8="Evet/Hayır",IF(OR(M21="Var",M21="Yapıldı",M21="Evet"),'1 AYAR'!$E$8,0),IF(LEN(M21)&gt;3,'1 AYAR'!$E$8,0))))</f>
        <v/>
      </c>
      <c r="O21" s="34"/>
      <c r="P21" s="35" t="str">
        <f aca="false">IF($D21&lt;&gt;"Evet","",IF('1 AYAR'!$C$9="Sayı",MIN(O21*'1 AYAR'!$D$9,'1 AYAR'!$E$9),IF('1 AYAR'!$C$9="Evet/Hayır",IF(OR(O21="Var",O21="Yapıldı",O21="Evet"),'1 AYAR'!$E$9,0),IF(LEN(O21)&gt;3,'1 AYAR'!$E$9,0))))</f>
        <v/>
      </c>
      <c r="Q21" s="34"/>
      <c r="R21" s="35" t="str">
        <f aca="false">IF($D21&lt;&gt;"Evet","",IF('1 AYAR'!$C$10="Sayı",MIN(Q21*'1 AYAR'!$D$10,'1 AYAR'!$E$10),IF('1 AYAR'!$C$10="Evet/Hayır",IF(OR(Q21="Var",Q21="Yapıldı",Q21="Evet"),'1 AYAR'!$E$10,0),IF(LEN(Q21)&gt;3,'1 AYAR'!$E$10,0))))</f>
        <v/>
      </c>
      <c r="S21" s="34"/>
      <c r="T21" s="35" t="str">
        <f aca="false">IF($D21&lt;&gt;"Evet","",IF('1 AYAR'!$C$11="Sayı",MIN(S21*'1 AYAR'!$D$11,'1 AYAR'!$E$11),IF('1 AYAR'!$C$11="Evet/Hayır",IF(OR(S21="Var",S21="Yapıldı",S21="Evet"),'1 AYAR'!$E$11,0),IF(LEN(S21)&gt;3,'1 AYAR'!$E$11,0))))</f>
        <v/>
      </c>
      <c r="U21" s="34"/>
      <c r="V21" s="35" t="str">
        <f aca="false">IF($D21&lt;&gt;"Evet","",IF('1 AYAR'!$C$12="Sayı",MIN(U21*'1 AYAR'!$D$12,'1 AYAR'!$E$12),IF('1 AYAR'!$C$12="Evet/Hayır",IF(OR(U21="Var",U21="Yapıldı",U21="Evet"),'1 AYAR'!$E$12,0),IF(LEN(U21)&gt;3,'1 AYAR'!$E$12,0))))</f>
        <v/>
      </c>
      <c r="W21" s="34"/>
      <c r="X21" s="35" t="str">
        <f aca="false">IF($D21&lt;&gt;"Evet","",IF('1 AYAR'!$C$13="Sayı",MIN(W21*'1 AYAR'!$D$13,'1 AYAR'!$E$13),IF('1 AYAR'!$C$13="Evet/Hayır",IF(OR(W21="Var",W21="Yapıldı",W21="Evet"),'1 AYAR'!$E$13,0),IF(LEN(W21)&gt;3,'1 AYAR'!$E$13,0))))</f>
        <v/>
      </c>
      <c r="Y21" s="34"/>
      <c r="Z21" s="35" t="str">
        <f aca="false">IF($D21&lt;&gt;"Evet","",IF('1 AYAR'!$C$14="Sayı",MIN(Y21*'1 AYAR'!$D$14,'1 AYAR'!$E$14),IF('1 AYAR'!$C$14="Evet/Hayır",IF(OR(Y21="Var",Y21="Yapıldı",Y21="Evet"),'1 AYAR'!$E$14,0),IF(LEN(Y21)&gt;3,'1 AYAR'!$E$14,0))))</f>
        <v/>
      </c>
      <c r="AA21" s="36"/>
      <c r="AB21" s="35" t="str">
        <f aca="false">IF($D21&lt;&gt;"Evet","",IF('1 AYAR'!$C$15="Sayı",MIN(AA21*'1 AYAR'!$D$15,'1 AYAR'!$E$15),IF('1 AYAR'!$C$15="Evet/Hayır",IF(OR(AA21="Var",AA21="Yapıldı",AA21="Evet"),'1 AYAR'!$E$15,0),IF(LEN(AA21)&gt;3,'1 AYAR'!$E$15,0))))</f>
        <v/>
      </c>
      <c r="AC21" s="37" t="str">
        <f aca="false">IF($D21&lt;&gt;"Evet","",F21+H21+J21+L21+N21+P21+R21+T21+V21+X21+Z21+AB21)</f>
        <v/>
      </c>
      <c r="AD21" s="38" t="str">
        <f aca="false">IF($D21&lt;&gt;"Evet","",IF(AC21&gt;='1 AYAR'!$C$27,"A",IF(AC21&gt;='1 AYAR'!$C$28,"B",IF(AC21&gt;='1 AYAR'!$C$29,"C","D"))))</f>
        <v/>
      </c>
      <c r="AE21" s="39" t="str">
        <f aca="false">IF($D21&lt;&gt;"Evet","",AC21+ROW()/10000)</f>
        <v/>
      </c>
      <c r="AF21" s="40"/>
    </row>
    <row r="22" customFormat="false" ht="15" hidden="false" customHeight="false" outlineLevel="0" collapsed="false">
      <c r="A22" s="24" t="str">
        <f aca="false">IF($D22&lt;&gt;"Evet","",RANK(AC22,$AC$6:$AC$44,0))</f>
        <v/>
      </c>
      <c r="B22" s="43" t="s">
        <v>211</v>
      </c>
      <c r="C22" s="32" t="s">
        <v>221</v>
      </c>
      <c r="D22" s="33" t="s">
        <v>196</v>
      </c>
      <c r="E22" s="34"/>
      <c r="F22" s="35" t="str">
        <f aca="false">IF($D22&lt;&gt;"Evet","",IF('1 AYAR'!$C$4="Sayı",MIN(E22*'1 AYAR'!$D$4,'1 AYAR'!$E$4),IF('1 AYAR'!$C$4="Evet/Hayır",IF(OR(E22="Var",E22="Yapıldı",E22="Evet"),'1 AYAR'!$E$4,0),IF(LEN(E22)&gt;3,'1 AYAR'!$E$4,0))))</f>
        <v/>
      </c>
      <c r="G22" s="34"/>
      <c r="H22" s="35" t="str">
        <f aca="false">IF($D22&lt;&gt;"Evet","",IF('1 AYAR'!$C$5="Sayı",MIN(G22*'1 AYAR'!$D$5,'1 AYAR'!$E$5),IF('1 AYAR'!$C$5="Evet/Hayır",IF(OR(G22="Var",G22="Yapıldı",G22="Evet"),'1 AYAR'!$E$5,0),IF(LEN(G22)&gt;3,'1 AYAR'!$E$5,0))))</f>
        <v/>
      </c>
      <c r="I22" s="34"/>
      <c r="J22" s="35" t="str">
        <f aca="false">IF($D22&lt;&gt;"Evet","",IF('1 AYAR'!$C$6="Sayı",MIN(I22*'1 AYAR'!$D$6,'1 AYAR'!$E$6),IF('1 AYAR'!$C$6="Evet/Hayır",IF(OR(I22="Var",I22="Yapıldı",I22="Evet"),'1 AYAR'!$E$6,0),IF(LEN(I22)&gt;3,'1 AYAR'!$E$6,0))))</f>
        <v/>
      </c>
      <c r="K22" s="34"/>
      <c r="L22" s="35" t="str">
        <f aca="false">IF($D22&lt;&gt;"Evet","",IF('1 AYAR'!$C$7="Sayı",MIN(K22*'1 AYAR'!$D$7,'1 AYAR'!$E$7),IF('1 AYAR'!$C$7="Evet/Hayır",IF(OR(K22="Var",K22="Yapıldı",K22="Evet"),'1 AYAR'!$E$7,0),IF(LEN(K22)&gt;3,'1 AYAR'!$E$7,0))))</f>
        <v/>
      </c>
      <c r="M22" s="34"/>
      <c r="N22" s="35" t="str">
        <f aca="false">IF($D22&lt;&gt;"Evet","",IF('1 AYAR'!$C$8="Sayı",MIN(M22*'1 AYAR'!$D$8,'1 AYAR'!$E$8),IF('1 AYAR'!$C$8="Evet/Hayır",IF(OR(M22="Var",M22="Yapıldı",M22="Evet"),'1 AYAR'!$E$8,0),IF(LEN(M22)&gt;3,'1 AYAR'!$E$8,0))))</f>
        <v/>
      </c>
      <c r="O22" s="34"/>
      <c r="P22" s="35" t="str">
        <f aca="false">IF($D22&lt;&gt;"Evet","",IF('1 AYAR'!$C$9="Sayı",MIN(O22*'1 AYAR'!$D$9,'1 AYAR'!$E$9),IF('1 AYAR'!$C$9="Evet/Hayır",IF(OR(O22="Var",O22="Yapıldı",O22="Evet"),'1 AYAR'!$E$9,0),IF(LEN(O22)&gt;3,'1 AYAR'!$E$9,0))))</f>
        <v/>
      </c>
      <c r="Q22" s="34"/>
      <c r="R22" s="35" t="str">
        <f aca="false">IF($D22&lt;&gt;"Evet","",IF('1 AYAR'!$C$10="Sayı",MIN(Q22*'1 AYAR'!$D$10,'1 AYAR'!$E$10),IF('1 AYAR'!$C$10="Evet/Hayır",IF(OR(Q22="Var",Q22="Yapıldı",Q22="Evet"),'1 AYAR'!$E$10,0),IF(LEN(Q22)&gt;3,'1 AYAR'!$E$10,0))))</f>
        <v/>
      </c>
      <c r="S22" s="34"/>
      <c r="T22" s="35" t="str">
        <f aca="false">IF($D22&lt;&gt;"Evet","",IF('1 AYAR'!$C$11="Sayı",MIN(S22*'1 AYAR'!$D$11,'1 AYAR'!$E$11),IF('1 AYAR'!$C$11="Evet/Hayır",IF(OR(S22="Var",S22="Yapıldı",S22="Evet"),'1 AYAR'!$E$11,0),IF(LEN(S22)&gt;3,'1 AYAR'!$E$11,0))))</f>
        <v/>
      </c>
      <c r="U22" s="34"/>
      <c r="V22" s="35" t="str">
        <f aca="false">IF($D22&lt;&gt;"Evet","",IF('1 AYAR'!$C$12="Sayı",MIN(U22*'1 AYAR'!$D$12,'1 AYAR'!$E$12),IF('1 AYAR'!$C$12="Evet/Hayır",IF(OR(U22="Var",U22="Yapıldı",U22="Evet"),'1 AYAR'!$E$12,0),IF(LEN(U22)&gt;3,'1 AYAR'!$E$12,0))))</f>
        <v/>
      </c>
      <c r="W22" s="34"/>
      <c r="X22" s="35" t="str">
        <f aca="false">IF($D22&lt;&gt;"Evet","",IF('1 AYAR'!$C$13="Sayı",MIN(W22*'1 AYAR'!$D$13,'1 AYAR'!$E$13),IF('1 AYAR'!$C$13="Evet/Hayır",IF(OR(W22="Var",W22="Yapıldı",W22="Evet"),'1 AYAR'!$E$13,0),IF(LEN(W22)&gt;3,'1 AYAR'!$E$13,0))))</f>
        <v/>
      </c>
      <c r="Y22" s="34"/>
      <c r="Z22" s="35" t="str">
        <f aca="false">IF($D22&lt;&gt;"Evet","",IF('1 AYAR'!$C$14="Sayı",MIN(Y22*'1 AYAR'!$D$14,'1 AYAR'!$E$14),IF('1 AYAR'!$C$14="Evet/Hayır",IF(OR(Y22="Var",Y22="Yapıldı",Y22="Evet"),'1 AYAR'!$E$14,0),IF(LEN(Y22)&gt;3,'1 AYAR'!$E$14,0))))</f>
        <v/>
      </c>
      <c r="AA22" s="36"/>
      <c r="AB22" s="35" t="str">
        <f aca="false">IF($D22&lt;&gt;"Evet","",IF('1 AYAR'!$C$15="Sayı",MIN(AA22*'1 AYAR'!$D$15,'1 AYAR'!$E$15),IF('1 AYAR'!$C$15="Evet/Hayır",IF(OR(AA22="Var",AA22="Yapıldı",AA22="Evet"),'1 AYAR'!$E$15,0),IF(LEN(AA22)&gt;3,'1 AYAR'!$E$15,0))))</f>
        <v/>
      </c>
      <c r="AC22" s="37" t="str">
        <f aca="false">IF($D22&lt;&gt;"Evet","",F22+H22+J22+L22+N22+P22+R22+T22+V22+X22+Z22+AB22)</f>
        <v/>
      </c>
      <c r="AD22" s="38" t="str">
        <f aca="false">IF($D22&lt;&gt;"Evet","",IF(AC22&gt;='1 AYAR'!$C$27,"A",IF(AC22&gt;='1 AYAR'!$C$28,"B",IF(AC22&gt;='1 AYAR'!$C$29,"C","D"))))</f>
        <v/>
      </c>
      <c r="AE22" s="39" t="str">
        <f aca="false">IF($D22&lt;&gt;"Evet","",AC22+ROW()/10000)</f>
        <v/>
      </c>
      <c r="AF22" s="40"/>
    </row>
    <row r="23" customFormat="false" ht="15" hidden="false" customHeight="false" outlineLevel="0" collapsed="false">
      <c r="A23" s="24" t="str">
        <f aca="false">IF($D23&lt;&gt;"Evet","",RANK(AC23,$AC$6:$AC$44,0))</f>
        <v/>
      </c>
      <c r="B23" s="43" t="s">
        <v>211</v>
      </c>
      <c r="C23" s="32" t="s">
        <v>222</v>
      </c>
      <c r="D23" s="33" t="s">
        <v>196</v>
      </c>
      <c r="E23" s="34"/>
      <c r="F23" s="35" t="str">
        <f aca="false">IF($D23&lt;&gt;"Evet","",IF('1 AYAR'!$C$4="Sayı",MIN(E23*'1 AYAR'!$D$4,'1 AYAR'!$E$4),IF('1 AYAR'!$C$4="Evet/Hayır",IF(OR(E23="Var",E23="Yapıldı",E23="Evet"),'1 AYAR'!$E$4,0),IF(LEN(E23)&gt;3,'1 AYAR'!$E$4,0))))</f>
        <v/>
      </c>
      <c r="G23" s="34"/>
      <c r="H23" s="35" t="str">
        <f aca="false">IF($D23&lt;&gt;"Evet","",IF('1 AYAR'!$C$5="Sayı",MIN(G23*'1 AYAR'!$D$5,'1 AYAR'!$E$5),IF('1 AYAR'!$C$5="Evet/Hayır",IF(OR(G23="Var",G23="Yapıldı",G23="Evet"),'1 AYAR'!$E$5,0),IF(LEN(G23)&gt;3,'1 AYAR'!$E$5,0))))</f>
        <v/>
      </c>
      <c r="I23" s="34"/>
      <c r="J23" s="35" t="str">
        <f aca="false">IF($D23&lt;&gt;"Evet","",IF('1 AYAR'!$C$6="Sayı",MIN(I23*'1 AYAR'!$D$6,'1 AYAR'!$E$6),IF('1 AYAR'!$C$6="Evet/Hayır",IF(OR(I23="Var",I23="Yapıldı",I23="Evet"),'1 AYAR'!$E$6,0),IF(LEN(I23)&gt;3,'1 AYAR'!$E$6,0))))</f>
        <v/>
      </c>
      <c r="K23" s="34"/>
      <c r="L23" s="35" t="str">
        <f aca="false">IF($D23&lt;&gt;"Evet","",IF('1 AYAR'!$C$7="Sayı",MIN(K23*'1 AYAR'!$D$7,'1 AYAR'!$E$7),IF('1 AYAR'!$C$7="Evet/Hayır",IF(OR(K23="Var",K23="Yapıldı",K23="Evet"),'1 AYAR'!$E$7,0),IF(LEN(K23)&gt;3,'1 AYAR'!$E$7,0))))</f>
        <v/>
      </c>
      <c r="M23" s="34"/>
      <c r="N23" s="35" t="str">
        <f aca="false">IF($D23&lt;&gt;"Evet","",IF('1 AYAR'!$C$8="Sayı",MIN(M23*'1 AYAR'!$D$8,'1 AYAR'!$E$8),IF('1 AYAR'!$C$8="Evet/Hayır",IF(OR(M23="Var",M23="Yapıldı",M23="Evet"),'1 AYAR'!$E$8,0),IF(LEN(M23)&gt;3,'1 AYAR'!$E$8,0))))</f>
        <v/>
      </c>
      <c r="O23" s="34"/>
      <c r="P23" s="35" t="str">
        <f aca="false">IF($D23&lt;&gt;"Evet","",IF('1 AYAR'!$C$9="Sayı",MIN(O23*'1 AYAR'!$D$9,'1 AYAR'!$E$9),IF('1 AYAR'!$C$9="Evet/Hayır",IF(OR(O23="Var",O23="Yapıldı",O23="Evet"),'1 AYAR'!$E$9,0),IF(LEN(O23)&gt;3,'1 AYAR'!$E$9,0))))</f>
        <v/>
      </c>
      <c r="Q23" s="34"/>
      <c r="R23" s="35" t="str">
        <f aca="false">IF($D23&lt;&gt;"Evet","",IF('1 AYAR'!$C$10="Sayı",MIN(Q23*'1 AYAR'!$D$10,'1 AYAR'!$E$10),IF('1 AYAR'!$C$10="Evet/Hayır",IF(OR(Q23="Var",Q23="Yapıldı",Q23="Evet"),'1 AYAR'!$E$10,0),IF(LEN(Q23)&gt;3,'1 AYAR'!$E$10,0))))</f>
        <v/>
      </c>
      <c r="S23" s="34"/>
      <c r="T23" s="35" t="str">
        <f aca="false">IF($D23&lt;&gt;"Evet","",IF('1 AYAR'!$C$11="Sayı",MIN(S23*'1 AYAR'!$D$11,'1 AYAR'!$E$11),IF('1 AYAR'!$C$11="Evet/Hayır",IF(OR(S23="Var",S23="Yapıldı",S23="Evet"),'1 AYAR'!$E$11,0),IF(LEN(S23)&gt;3,'1 AYAR'!$E$11,0))))</f>
        <v/>
      </c>
      <c r="U23" s="34"/>
      <c r="V23" s="35" t="str">
        <f aca="false">IF($D23&lt;&gt;"Evet","",IF('1 AYAR'!$C$12="Sayı",MIN(U23*'1 AYAR'!$D$12,'1 AYAR'!$E$12),IF('1 AYAR'!$C$12="Evet/Hayır",IF(OR(U23="Var",U23="Yapıldı",U23="Evet"),'1 AYAR'!$E$12,0),IF(LEN(U23)&gt;3,'1 AYAR'!$E$12,0))))</f>
        <v/>
      </c>
      <c r="W23" s="34"/>
      <c r="X23" s="35" t="str">
        <f aca="false">IF($D23&lt;&gt;"Evet","",IF('1 AYAR'!$C$13="Sayı",MIN(W23*'1 AYAR'!$D$13,'1 AYAR'!$E$13),IF('1 AYAR'!$C$13="Evet/Hayır",IF(OR(W23="Var",W23="Yapıldı",W23="Evet"),'1 AYAR'!$E$13,0),IF(LEN(W23)&gt;3,'1 AYAR'!$E$13,0))))</f>
        <v/>
      </c>
      <c r="Y23" s="34"/>
      <c r="Z23" s="35" t="str">
        <f aca="false">IF($D23&lt;&gt;"Evet","",IF('1 AYAR'!$C$14="Sayı",MIN(Y23*'1 AYAR'!$D$14,'1 AYAR'!$E$14),IF('1 AYAR'!$C$14="Evet/Hayır",IF(OR(Y23="Var",Y23="Yapıldı",Y23="Evet"),'1 AYAR'!$E$14,0),IF(LEN(Y23)&gt;3,'1 AYAR'!$E$14,0))))</f>
        <v/>
      </c>
      <c r="AA23" s="36"/>
      <c r="AB23" s="35" t="str">
        <f aca="false">IF($D23&lt;&gt;"Evet","",IF('1 AYAR'!$C$15="Sayı",MIN(AA23*'1 AYAR'!$D$15,'1 AYAR'!$E$15),IF('1 AYAR'!$C$15="Evet/Hayır",IF(OR(AA23="Var",AA23="Yapıldı",AA23="Evet"),'1 AYAR'!$E$15,0),IF(LEN(AA23)&gt;3,'1 AYAR'!$E$15,0))))</f>
        <v/>
      </c>
      <c r="AC23" s="37" t="str">
        <f aca="false">IF($D23&lt;&gt;"Evet","",F23+H23+J23+L23+N23+P23+R23+T23+V23+X23+Z23+AB23)</f>
        <v/>
      </c>
      <c r="AD23" s="38" t="str">
        <f aca="false">IF($D23&lt;&gt;"Evet","",IF(AC23&gt;='1 AYAR'!$C$27,"A",IF(AC23&gt;='1 AYAR'!$C$28,"B",IF(AC23&gt;='1 AYAR'!$C$29,"C","D"))))</f>
        <v/>
      </c>
      <c r="AE23" s="39" t="str">
        <f aca="false">IF($D23&lt;&gt;"Evet","",AC23+ROW()/10000)</f>
        <v/>
      </c>
      <c r="AF23" s="40"/>
    </row>
    <row r="24" customFormat="false" ht="15" hidden="false" customHeight="false" outlineLevel="0" collapsed="false">
      <c r="A24" s="24" t="str">
        <f aca="false">IF($D24&lt;&gt;"Evet","",RANK(AC24,$AC$6:$AC$44,0))</f>
        <v/>
      </c>
      <c r="B24" s="43" t="s">
        <v>211</v>
      </c>
      <c r="C24" s="32" t="s">
        <v>223</v>
      </c>
      <c r="D24" s="33" t="s">
        <v>196</v>
      </c>
      <c r="E24" s="34"/>
      <c r="F24" s="35" t="str">
        <f aca="false">IF($D24&lt;&gt;"Evet","",IF('1 AYAR'!$C$4="Sayı",MIN(E24*'1 AYAR'!$D$4,'1 AYAR'!$E$4),IF('1 AYAR'!$C$4="Evet/Hayır",IF(OR(E24="Var",E24="Yapıldı",E24="Evet"),'1 AYAR'!$E$4,0),IF(LEN(E24)&gt;3,'1 AYAR'!$E$4,0))))</f>
        <v/>
      </c>
      <c r="G24" s="34"/>
      <c r="H24" s="35" t="str">
        <f aca="false">IF($D24&lt;&gt;"Evet","",IF('1 AYAR'!$C$5="Sayı",MIN(G24*'1 AYAR'!$D$5,'1 AYAR'!$E$5),IF('1 AYAR'!$C$5="Evet/Hayır",IF(OR(G24="Var",G24="Yapıldı",G24="Evet"),'1 AYAR'!$E$5,0),IF(LEN(G24)&gt;3,'1 AYAR'!$E$5,0))))</f>
        <v/>
      </c>
      <c r="I24" s="34"/>
      <c r="J24" s="35" t="str">
        <f aca="false">IF($D24&lt;&gt;"Evet","",IF('1 AYAR'!$C$6="Sayı",MIN(I24*'1 AYAR'!$D$6,'1 AYAR'!$E$6),IF('1 AYAR'!$C$6="Evet/Hayır",IF(OR(I24="Var",I24="Yapıldı",I24="Evet"),'1 AYAR'!$E$6,0),IF(LEN(I24)&gt;3,'1 AYAR'!$E$6,0))))</f>
        <v/>
      </c>
      <c r="K24" s="34"/>
      <c r="L24" s="35" t="str">
        <f aca="false">IF($D24&lt;&gt;"Evet","",IF('1 AYAR'!$C$7="Sayı",MIN(K24*'1 AYAR'!$D$7,'1 AYAR'!$E$7),IF('1 AYAR'!$C$7="Evet/Hayır",IF(OR(K24="Var",K24="Yapıldı",K24="Evet"),'1 AYAR'!$E$7,0),IF(LEN(K24)&gt;3,'1 AYAR'!$E$7,0))))</f>
        <v/>
      </c>
      <c r="M24" s="34"/>
      <c r="N24" s="35" t="str">
        <f aca="false">IF($D24&lt;&gt;"Evet","",IF('1 AYAR'!$C$8="Sayı",MIN(M24*'1 AYAR'!$D$8,'1 AYAR'!$E$8),IF('1 AYAR'!$C$8="Evet/Hayır",IF(OR(M24="Var",M24="Yapıldı",M24="Evet"),'1 AYAR'!$E$8,0),IF(LEN(M24)&gt;3,'1 AYAR'!$E$8,0))))</f>
        <v/>
      </c>
      <c r="O24" s="34"/>
      <c r="P24" s="35" t="str">
        <f aca="false">IF($D24&lt;&gt;"Evet","",IF('1 AYAR'!$C$9="Sayı",MIN(O24*'1 AYAR'!$D$9,'1 AYAR'!$E$9),IF('1 AYAR'!$C$9="Evet/Hayır",IF(OR(O24="Var",O24="Yapıldı",O24="Evet"),'1 AYAR'!$E$9,0),IF(LEN(O24)&gt;3,'1 AYAR'!$E$9,0))))</f>
        <v/>
      </c>
      <c r="Q24" s="34"/>
      <c r="R24" s="35" t="str">
        <f aca="false">IF($D24&lt;&gt;"Evet","",IF('1 AYAR'!$C$10="Sayı",MIN(Q24*'1 AYAR'!$D$10,'1 AYAR'!$E$10),IF('1 AYAR'!$C$10="Evet/Hayır",IF(OR(Q24="Var",Q24="Yapıldı",Q24="Evet"),'1 AYAR'!$E$10,0),IF(LEN(Q24)&gt;3,'1 AYAR'!$E$10,0))))</f>
        <v/>
      </c>
      <c r="S24" s="34"/>
      <c r="T24" s="35" t="str">
        <f aca="false">IF($D24&lt;&gt;"Evet","",IF('1 AYAR'!$C$11="Sayı",MIN(S24*'1 AYAR'!$D$11,'1 AYAR'!$E$11),IF('1 AYAR'!$C$11="Evet/Hayır",IF(OR(S24="Var",S24="Yapıldı",S24="Evet"),'1 AYAR'!$E$11,0),IF(LEN(S24)&gt;3,'1 AYAR'!$E$11,0))))</f>
        <v/>
      </c>
      <c r="U24" s="34"/>
      <c r="V24" s="35" t="str">
        <f aca="false">IF($D24&lt;&gt;"Evet","",IF('1 AYAR'!$C$12="Sayı",MIN(U24*'1 AYAR'!$D$12,'1 AYAR'!$E$12),IF('1 AYAR'!$C$12="Evet/Hayır",IF(OR(U24="Var",U24="Yapıldı",U24="Evet"),'1 AYAR'!$E$12,0),IF(LEN(U24)&gt;3,'1 AYAR'!$E$12,0))))</f>
        <v/>
      </c>
      <c r="W24" s="34"/>
      <c r="X24" s="35" t="str">
        <f aca="false">IF($D24&lt;&gt;"Evet","",IF('1 AYAR'!$C$13="Sayı",MIN(W24*'1 AYAR'!$D$13,'1 AYAR'!$E$13),IF('1 AYAR'!$C$13="Evet/Hayır",IF(OR(W24="Var",W24="Yapıldı",W24="Evet"),'1 AYAR'!$E$13,0),IF(LEN(W24)&gt;3,'1 AYAR'!$E$13,0))))</f>
        <v/>
      </c>
      <c r="Y24" s="34"/>
      <c r="Z24" s="35" t="str">
        <f aca="false">IF($D24&lt;&gt;"Evet","",IF('1 AYAR'!$C$14="Sayı",MIN(Y24*'1 AYAR'!$D$14,'1 AYAR'!$E$14),IF('1 AYAR'!$C$14="Evet/Hayır",IF(OR(Y24="Var",Y24="Yapıldı",Y24="Evet"),'1 AYAR'!$E$14,0),IF(LEN(Y24)&gt;3,'1 AYAR'!$E$14,0))))</f>
        <v/>
      </c>
      <c r="AA24" s="36"/>
      <c r="AB24" s="35" t="str">
        <f aca="false">IF($D24&lt;&gt;"Evet","",IF('1 AYAR'!$C$15="Sayı",MIN(AA24*'1 AYAR'!$D$15,'1 AYAR'!$E$15),IF('1 AYAR'!$C$15="Evet/Hayır",IF(OR(AA24="Var",AA24="Yapıldı",AA24="Evet"),'1 AYAR'!$E$15,0),IF(LEN(AA24)&gt;3,'1 AYAR'!$E$15,0))))</f>
        <v/>
      </c>
      <c r="AC24" s="37" t="str">
        <f aca="false">IF($D24&lt;&gt;"Evet","",F24+H24+J24+L24+N24+P24+R24+T24+V24+X24+Z24+AB24)</f>
        <v/>
      </c>
      <c r="AD24" s="38" t="str">
        <f aca="false">IF($D24&lt;&gt;"Evet","",IF(AC24&gt;='1 AYAR'!$C$27,"A",IF(AC24&gt;='1 AYAR'!$C$28,"B",IF(AC24&gt;='1 AYAR'!$C$29,"C","D"))))</f>
        <v/>
      </c>
      <c r="AE24" s="39" t="str">
        <f aca="false">IF($D24&lt;&gt;"Evet","",AC24+ROW()/10000)</f>
        <v/>
      </c>
      <c r="AF24" s="40"/>
    </row>
    <row r="25" customFormat="false" ht="15" hidden="false" customHeight="false" outlineLevel="0" collapsed="false">
      <c r="A25" s="24" t="str">
        <f aca="false">IF($D25&lt;&gt;"Evet","",RANK(AC25,$AC$6:$AC$44,0))</f>
        <v/>
      </c>
      <c r="B25" s="43" t="s">
        <v>211</v>
      </c>
      <c r="C25" s="32" t="s">
        <v>224</v>
      </c>
      <c r="D25" s="33" t="s">
        <v>196</v>
      </c>
      <c r="E25" s="34"/>
      <c r="F25" s="35" t="str">
        <f aca="false">IF($D25&lt;&gt;"Evet","",IF('1 AYAR'!$C$4="Sayı",MIN(E25*'1 AYAR'!$D$4,'1 AYAR'!$E$4),IF('1 AYAR'!$C$4="Evet/Hayır",IF(OR(E25="Var",E25="Yapıldı",E25="Evet"),'1 AYAR'!$E$4,0),IF(LEN(E25)&gt;3,'1 AYAR'!$E$4,0))))</f>
        <v/>
      </c>
      <c r="G25" s="34"/>
      <c r="H25" s="35" t="str">
        <f aca="false">IF($D25&lt;&gt;"Evet","",IF('1 AYAR'!$C$5="Sayı",MIN(G25*'1 AYAR'!$D$5,'1 AYAR'!$E$5),IF('1 AYAR'!$C$5="Evet/Hayır",IF(OR(G25="Var",G25="Yapıldı",G25="Evet"),'1 AYAR'!$E$5,0),IF(LEN(G25)&gt;3,'1 AYAR'!$E$5,0))))</f>
        <v/>
      </c>
      <c r="I25" s="34"/>
      <c r="J25" s="35" t="str">
        <f aca="false">IF($D25&lt;&gt;"Evet","",IF('1 AYAR'!$C$6="Sayı",MIN(I25*'1 AYAR'!$D$6,'1 AYAR'!$E$6),IF('1 AYAR'!$C$6="Evet/Hayır",IF(OR(I25="Var",I25="Yapıldı",I25="Evet"),'1 AYAR'!$E$6,0),IF(LEN(I25)&gt;3,'1 AYAR'!$E$6,0))))</f>
        <v/>
      </c>
      <c r="K25" s="34"/>
      <c r="L25" s="35" t="str">
        <f aca="false">IF($D25&lt;&gt;"Evet","",IF('1 AYAR'!$C$7="Sayı",MIN(K25*'1 AYAR'!$D$7,'1 AYAR'!$E$7),IF('1 AYAR'!$C$7="Evet/Hayır",IF(OR(K25="Var",K25="Yapıldı",K25="Evet"),'1 AYAR'!$E$7,0),IF(LEN(K25)&gt;3,'1 AYAR'!$E$7,0))))</f>
        <v/>
      </c>
      <c r="M25" s="34"/>
      <c r="N25" s="35" t="str">
        <f aca="false">IF($D25&lt;&gt;"Evet","",IF('1 AYAR'!$C$8="Sayı",MIN(M25*'1 AYAR'!$D$8,'1 AYAR'!$E$8),IF('1 AYAR'!$C$8="Evet/Hayır",IF(OR(M25="Var",M25="Yapıldı",M25="Evet"),'1 AYAR'!$E$8,0),IF(LEN(M25)&gt;3,'1 AYAR'!$E$8,0))))</f>
        <v/>
      </c>
      <c r="O25" s="34"/>
      <c r="P25" s="35" t="str">
        <f aca="false">IF($D25&lt;&gt;"Evet","",IF('1 AYAR'!$C$9="Sayı",MIN(O25*'1 AYAR'!$D$9,'1 AYAR'!$E$9),IF('1 AYAR'!$C$9="Evet/Hayır",IF(OR(O25="Var",O25="Yapıldı",O25="Evet"),'1 AYAR'!$E$9,0),IF(LEN(O25)&gt;3,'1 AYAR'!$E$9,0))))</f>
        <v/>
      </c>
      <c r="Q25" s="34"/>
      <c r="R25" s="35" t="str">
        <f aca="false">IF($D25&lt;&gt;"Evet","",IF('1 AYAR'!$C$10="Sayı",MIN(Q25*'1 AYAR'!$D$10,'1 AYAR'!$E$10),IF('1 AYAR'!$C$10="Evet/Hayır",IF(OR(Q25="Var",Q25="Yapıldı",Q25="Evet"),'1 AYAR'!$E$10,0),IF(LEN(Q25)&gt;3,'1 AYAR'!$E$10,0))))</f>
        <v/>
      </c>
      <c r="S25" s="34"/>
      <c r="T25" s="35" t="str">
        <f aca="false">IF($D25&lt;&gt;"Evet","",IF('1 AYAR'!$C$11="Sayı",MIN(S25*'1 AYAR'!$D$11,'1 AYAR'!$E$11),IF('1 AYAR'!$C$11="Evet/Hayır",IF(OR(S25="Var",S25="Yapıldı",S25="Evet"),'1 AYAR'!$E$11,0),IF(LEN(S25)&gt;3,'1 AYAR'!$E$11,0))))</f>
        <v/>
      </c>
      <c r="U25" s="34"/>
      <c r="V25" s="35" t="str">
        <f aca="false">IF($D25&lt;&gt;"Evet","",IF('1 AYAR'!$C$12="Sayı",MIN(U25*'1 AYAR'!$D$12,'1 AYAR'!$E$12),IF('1 AYAR'!$C$12="Evet/Hayır",IF(OR(U25="Var",U25="Yapıldı",U25="Evet"),'1 AYAR'!$E$12,0),IF(LEN(U25)&gt;3,'1 AYAR'!$E$12,0))))</f>
        <v/>
      </c>
      <c r="W25" s="34"/>
      <c r="X25" s="35" t="str">
        <f aca="false">IF($D25&lt;&gt;"Evet","",IF('1 AYAR'!$C$13="Sayı",MIN(W25*'1 AYAR'!$D$13,'1 AYAR'!$E$13),IF('1 AYAR'!$C$13="Evet/Hayır",IF(OR(W25="Var",W25="Yapıldı",W25="Evet"),'1 AYAR'!$E$13,0),IF(LEN(W25)&gt;3,'1 AYAR'!$E$13,0))))</f>
        <v/>
      </c>
      <c r="Y25" s="34"/>
      <c r="Z25" s="35" t="str">
        <f aca="false">IF($D25&lt;&gt;"Evet","",IF('1 AYAR'!$C$14="Sayı",MIN(Y25*'1 AYAR'!$D$14,'1 AYAR'!$E$14),IF('1 AYAR'!$C$14="Evet/Hayır",IF(OR(Y25="Var",Y25="Yapıldı",Y25="Evet"),'1 AYAR'!$E$14,0),IF(LEN(Y25)&gt;3,'1 AYAR'!$E$14,0))))</f>
        <v/>
      </c>
      <c r="AA25" s="36"/>
      <c r="AB25" s="35" t="str">
        <f aca="false">IF($D25&lt;&gt;"Evet","",IF('1 AYAR'!$C$15="Sayı",MIN(AA25*'1 AYAR'!$D$15,'1 AYAR'!$E$15),IF('1 AYAR'!$C$15="Evet/Hayır",IF(OR(AA25="Var",AA25="Yapıldı",AA25="Evet"),'1 AYAR'!$E$15,0),IF(LEN(AA25)&gt;3,'1 AYAR'!$E$15,0))))</f>
        <v/>
      </c>
      <c r="AC25" s="37" t="str">
        <f aca="false">IF($D25&lt;&gt;"Evet","",F25+H25+J25+L25+N25+P25+R25+T25+V25+X25+Z25+AB25)</f>
        <v/>
      </c>
      <c r="AD25" s="38" t="str">
        <f aca="false">IF($D25&lt;&gt;"Evet","",IF(AC25&gt;='1 AYAR'!$C$27,"A",IF(AC25&gt;='1 AYAR'!$C$28,"B",IF(AC25&gt;='1 AYAR'!$C$29,"C","D"))))</f>
        <v/>
      </c>
      <c r="AE25" s="39" t="str">
        <f aca="false">IF($D25&lt;&gt;"Evet","",AC25+ROW()/10000)</f>
        <v/>
      </c>
      <c r="AF25" s="40"/>
    </row>
    <row r="26" customFormat="false" ht="15" hidden="false" customHeight="false" outlineLevel="0" collapsed="false">
      <c r="A26" s="24" t="str">
        <f aca="false">IF($D26&lt;&gt;"Evet","",RANK(AC26,$AC$6:$AC$44,0))</f>
        <v/>
      </c>
      <c r="B26" s="43" t="s">
        <v>211</v>
      </c>
      <c r="C26" s="32" t="s">
        <v>225</v>
      </c>
      <c r="D26" s="33" t="s">
        <v>196</v>
      </c>
      <c r="E26" s="34"/>
      <c r="F26" s="35" t="str">
        <f aca="false">IF($D26&lt;&gt;"Evet","",IF('1 AYAR'!$C$4="Sayı",MIN(E26*'1 AYAR'!$D$4,'1 AYAR'!$E$4),IF('1 AYAR'!$C$4="Evet/Hayır",IF(OR(E26="Var",E26="Yapıldı",E26="Evet"),'1 AYAR'!$E$4,0),IF(LEN(E26)&gt;3,'1 AYAR'!$E$4,0))))</f>
        <v/>
      </c>
      <c r="G26" s="34"/>
      <c r="H26" s="35" t="str">
        <f aca="false">IF($D26&lt;&gt;"Evet","",IF('1 AYAR'!$C$5="Sayı",MIN(G26*'1 AYAR'!$D$5,'1 AYAR'!$E$5),IF('1 AYAR'!$C$5="Evet/Hayır",IF(OR(G26="Var",G26="Yapıldı",G26="Evet"),'1 AYAR'!$E$5,0),IF(LEN(G26)&gt;3,'1 AYAR'!$E$5,0))))</f>
        <v/>
      </c>
      <c r="I26" s="34"/>
      <c r="J26" s="35" t="str">
        <f aca="false">IF($D26&lt;&gt;"Evet","",IF('1 AYAR'!$C$6="Sayı",MIN(I26*'1 AYAR'!$D$6,'1 AYAR'!$E$6),IF('1 AYAR'!$C$6="Evet/Hayır",IF(OR(I26="Var",I26="Yapıldı",I26="Evet"),'1 AYAR'!$E$6,0),IF(LEN(I26)&gt;3,'1 AYAR'!$E$6,0))))</f>
        <v/>
      </c>
      <c r="K26" s="34"/>
      <c r="L26" s="35" t="str">
        <f aca="false">IF($D26&lt;&gt;"Evet","",IF('1 AYAR'!$C$7="Sayı",MIN(K26*'1 AYAR'!$D$7,'1 AYAR'!$E$7),IF('1 AYAR'!$C$7="Evet/Hayır",IF(OR(K26="Var",K26="Yapıldı",K26="Evet"),'1 AYAR'!$E$7,0),IF(LEN(K26)&gt;3,'1 AYAR'!$E$7,0))))</f>
        <v/>
      </c>
      <c r="M26" s="34"/>
      <c r="N26" s="35" t="str">
        <f aca="false">IF($D26&lt;&gt;"Evet","",IF('1 AYAR'!$C$8="Sayı",MIN(M26*'1 AYAR'!$D$8,'1 AYAR'!$E$8),IF('1 AYAR'!$C$8="Evet/Hayır",IF(OR(M26="Var",M26="Yapıldı",M26="Evet"),'1 AYAR'!$E$8,0),IF(LEN(M26)&gt;3,'1 AYAR'!$E$8,0))))</f>
        <v/>
      </c>
      <c r="O26" s="34"/>
      <c r="P26" s="35" t="str">
        <f aca="false">IF($D26&lt;&gt;"Evet","",IF('1 AYAR'!$C$9="Sayı",MIN(O26*'1 AYAR'!$D$9,'1 AYAR'!$E$9),IF('1 AYAR'!$C$9="Evet/Hayır",IF(OR(O26="Var",O26="Yapıldı",O26="Evet"),'1 AYAR'!$E$9,0),IF(LEN(O26)&gt;3,'1 AYAR'!$E$9,0))))</f>
        <v/>
      </c>
      <c r="Q26" s="34"/>
      <c r="R26" s="35" t="str">
        <f aca="false">IF($D26&lt;&gt;"Evet","",IF('1 AYAR'!$C$10="Sayı",MIN(Q26*'1 AYAR'!$D$10,'1 AYAR'!$E$10),IF('1 AYAR'!$C$10="Evet/Hayır",IF(OR(Q26="Var",Q26="Yapıldı",Q26="Evet"),'1 AYAR'!$E$10,0),IF(LEN(Q26)&gt;3,'1 AYAR'!$E$10,0))))</f>
        <v/>
      </c>
      <c r="S26" s="34"/>
      <c r="T26" s="35" t="str">
        <f aca="false">IF($D26&lt;&gt;"Evet","",IF('1 AYAR'!$C$11="Sayı",MIN(S26*'1 AYAR'!$D$11,'1 AYAR'!$E$11),IF('1 AYAR'!$C$11="Evet/Hayır",IF(OR(S26="Var",S26="Yapıldı",S26="Evet"),'1 AYAR'!$E$11,0),IF(LEN(S26)&gt;3,'1 AYAR'!$E$11,0))))</f>
        <v/>
      </c>
      <c r="U26" s="34"/>
      <c r="V26" s="35" t="str">
        <f aca="false">IF($D26&lt;&gt;"Evet","",IF('1 AYAR'!$C$12="Sayı",MIN(U26*'1 AYAR'!$D$12,'1 AYAR'!$E$12),IF('1 AYAR'!$C$12="Evet/Hayır",IF(OR(U26="Var",U26="Yapıldı",U26="Evet"),'1 AYAR'!$E$12,0),IF(LEN(U26)&gt;3,'1 AYAR'!$E$12,0))))</f>
        <v/>
      </c>
      <c r="W26" s="34"/>
      <c r="X26" s="35" t="str">
        <f aca="false">IF($D26&lt;&gt;"Evet","",IF('1 AYAR'!$C$13="Sayı",MIN(W26*'1 AYAR'!$D$13,'1 AYAR'!$E$13),IF('1 AYAR'!$C$13="Evet/Hayır",IF(OR(W26="Var",W26="Yapıldı",W26="Evet"),'1 AYAR'!$E$13,0),IF(LEN(W26)&gt;3,'1 AYAR'!$E$13,0))))</f>
        <v/>
      </c>
      <c r="Y26" s="34"/>
      <c r="Z26" s="35" t="str">
        <f aca="false">IF($D26&lt;&gt;"Evet","",IF('1 AYAR'!$C$14="Sayı",MIN(Y26*'1 AYAR'!$D$14,'1 AYAR'!$E$14),IF('1 AYAR'!$C$14="Evet/Hayır",IF(OR(Y26="Var",Y26="Yapıldı",Y26="Evet"),'1 AYAR'!$E$14,0),IF(LEN(Y26)&gt;3,'1 AYAR'!$E$14,0))))</f>
        <v/>
      </c>
      <c r="AA26" s="36"/>
      <c r="AB26" s="35" t="str">
        <f aca="false">IF($D26&lt;&gt;"Evet","",IF('1 AYAR'!$C$15="Sayı",MIN(AA26*'1 AYAR'!$D$15,'1 AYAR'!$E$15),IF('1 AYAR'!$C$15="Evet/Hayır",IF(OR(AA26="Var",AA26="Yapıldı",AA26="Evet"),'1 AYAR'!$E$15,0),IF(LEN(AA26)&gt;3,'1 AYAR'!$E$15,0))))</f>
        <v/>
      </c>
      <c r="AC26" s="37" t="str">
        <f aca="false">IF($D26&lt;&gt;"Evet","",F26+H26+J26+L26+N26+P26+R26+T26+V26+X26+Z26+AB26)</f>
        <v/>
      </c>
      <c r="AD26" s="38" t="str">
        <f aca="false">IF($D26&lt;&gt;"Evet","",IF(AC26&gt;='1 AYAR'!$C$27,"A",IF(AC26&gt;='1 AYAR'!$C$28,"B",IF(AC26&gt;='1 AYAR'!$C$29,"C","D"))))</f>
        <v/>
      </c>
      <c r="AE26" s="39" t="str">
        <f aca="false">IF($D26&lt;&gt;"Evet","",AC26+ROW()/10000)</f>
        <v/>
      </c>
      <c r="AF26" s="40"/>
    </row>
    <row r="27" customFormat="false" ht="15" hidden="false" customHeight="false" outlineLevel="0" collapsed="false">
      <c r="A27" s="24" t="str">
        <f aca="false">IF($D27&lt;&gt;"Evet","",RANK(AC27,$AC$6:$AC$44,0))</f>
        <v/>
      </c>
      <c r="B27" s="43" t="s">
        <v>211</v>
      </c>
      <c r="C27" s="32" t="s">
        <v>226</v>
      </c>
      <c r="D27" s="33" t="s">
        <v>196</v>
      </c>
      <c r="E27" s="34"/>
      <c r="F27" s="35" t="str">
        <f aca="false">IF($D27&lt;&gt;"Evet","",IF('1 AYAR'!$C$4="Sayı",MIN(E27*'1 AYAR'!$D$4,'1 AYAR'!$E$4),IF('1 AYAR'!$C$4="Evet/Hayır",IF(OR(E27="Var",E27="Yapıldı",E27="Evet"),'1 AYAR'!$E$4,0),IF(LEN(E27)&gt;3,'1 AYAR'!$E$4,0))))</f>
        <v/>
      </c>
      <c r="G27" s="34"/>
      <c r="H27" s="35" t="str">
        <f aca="false">IF($D27&lt;&gt;"Evet","",IF('1 AYAR'!$C$5="Sayı",MIN(G27*'1 AYAR'!$D$5,'1 AYAR'!$E$5),IF('1 AYAR'!$C$5="Evet/Hayır",IF(OR(G27="Var",G27="Yapıldı",G27="Evet"),'1 AYAR'!$E$5,0),IF(LEN(G27)&gt;3,'1 AYAR'!$E$5,0))))</f>
        <v/>
      </c>
      <c r="I27" s="34"/>
      <c r="J27" s="35" t="str">
        <f aca="false">IF($D27&lt;&gt;"Evet","",IF('1 AYAR'!$C$6="Sayı",MIN(I27*'1 AYAR'!$D$6,'1 AYAR'!$E$6),IF('1 AYAR'!$C$6="Evet/Hayır",IF(OR(I27="Var",I27="Yapıldı",I27="Evet"),'1 AYAR'!$E$6,0),IF(LEN(I27)&gt;3,'1 AYAR'!$E$6,0))))</f>
        <v/>
      </c>
      <c r="K27" s="34"/>
      <c r="L27" s="35" t="str">
        <f aca="false">IF($D27&lt;&gt;"Evet","",IF('1 AYAR'!$C$7="Sayı",MIN(K27*'1 AYAR'!$D$7,'1 AYAR'!$E$7),IF('1 AYAR'!$C$7="Evet/Hayır",IF(OR(K27="Var",K27="Yapıldı",K27="Evet"),'1 AYAR'!$E$7,0),IF(LEN(K27)&gt;3,'1 AYAR'!$E$7,0))))</f>
        <v/>
      </c>
      <c r="M27" s="34"/>
      <c r="N27" s="35" t="str">
        <f aca="false">IF($D27&lt;&gt;"Evet","",IF('1 AYAR'!$C$8="Sayı",MIN(M27*'1 AYAR'!$D$8,'1 AYAR'!$E$8),IF('1 AYAR'!$C$8="Evet/Hayır",IF(OR(M27="Var",M27="Yapıldı",M27="Evet"),'1 AYAR'!$E$8,0),IF(LEN(M27)&gt;3,'1 AYAR'!$E$8,0))))</f>
        <v/>
      </c>
      <c r="O27" s="34"/>
      <c r="P27" s="35" t="str">
        <f aca="false">IF($D27&lt;&gt;"Evet","",IF('1 AYAR'!$C$9="Sayı",MIN(O27*'1 AYAR'!$D$9,'1 AYAR'!$E$9),IF('1 AYAR'!$C$9="Evet/Hayır",IF(OR(O27="Var",O27="Yapıldı",O27="Evet"),'1 AYAR'!$E$9,0),IF(LEN(O27)&gt;3,'1 AYAR'!$E$9,0))))</f>
        <v/>
      </c>
      <c r="Q27" s="34"/>
      <c r="R27" s="35" t="str">
        <f aca="false">IF($D27&lt;&gt;"Evet","",IF('1 AYAR'!$C$10="Sayı",MIN(Q27*'1 AYAR'!$D$10,'1 AYAR'!$E$10),IF('1 AYAR'!$C$10="Evet/Hayır",IF(OR(Q27="Var",Q27="Yapıldı",Q27="Evet"),'1 AYAR'!$E$10,0),IF(LEN(Q27)&gt;3,'1 AYAR'!$E$10,0))))</f>
        <v/>
      </c>
      <c r="S27" s="34"/>
      <c r="T27" s="35" t="str">
        <f aca="false">IF($D27&lt;&gt;"Evet","",IF('1 AYAR'!$C$11="Sayı",MIN(S27*'1 AYAR'!$D$11,'1 AYAR'!$E$11),IF('1 AYAR'!$C$11="Evet/Hayır",IF(OR(S27="Var",S27="Yapıldı",S27="Evet"),'1 AYAR'!$E$11,0),IF(LEN(S27)&gt;3,'1 AYAR'!$E$11,0))))</f>
        <v/>
      </c>
      <c r="U27" s="34"/>
      <c r="V27" s="35" t="str">
        <f aca="false">IF($D27&lt;&gt;"Evet","",IF('1 AYAR'!$C$12="Sayı",MIN(U27*'1 AYAR'!$D$12,'1 AYAR'!$E$12),IF('1 AYAR'!$C$12="Evet/Hayır",IF(OR(U27="Var",U27="Yapıldı",U27="Evet"),'1 AYAR'!$E$12,0),IF(LEN(U27)&gt;3,'1 AYAR'!$E$12,0))))</f>
        <v/>
      </c>
      <c r="W27" s="34"/>
      <c r="X27" s="35" t="str">
        <f aca="false">IF($D27&lt;&gt;"Evet","",IF('1 AYAR'!$C$13="Sayı",MIN(W27*'1 AYAR'!$D$13,'1 AYAR'!$E$13),IF('1 AYAR'!$C$13="Evet/Hayır",IF(OR(W27="Var",W27="Yapıldı",W27="Evet"),'1 AYAR'!$E$13,0),IF(LEN(W27)&gt;3,'1 AYAR'!$E$13,0))))</f>
        <v/>
      </c>
      <c r="Y27" s="34"/>
      <c r="Z27" s="35" t="str">
        <f aca="false">IF($D27&lt;&gt;"Evet","",IF('1 AYAR'!$C$14="Sayı",MIN(Y27*'1 AYAR'!$D$14,'1 AYAR'!$E$14),IF('1 AYAR'!$C$14="Evet/Hayır",IF(OR(Y27="Var",Y27="Yapıldı",Y27="Evet"),'1 AYAR'!$E$14,0),IF(LEN(Y27)&gt;3,'1 AYAR'!$E$14,0))))</f>
        <v/>
      </c>
      <c r="AA27" s="36"/>
      <c r="AB27" s="35" t="str">
        <f aca="false">IF($D27&lt;&gt;"Evet","",IF('1 AYAR'!$C$15="Sayı",MIN(AA27*'1 AYAR'!$D$15,'1 AYAR'!$E$15),IF('1 AYAR'!$C$15="Evet/Hayır",IF(OR(AA27="Var",AA27="Yapıldı",AA27="Evet"),'1 AYAR'!$E$15,0),IF(LEN(AA27)&gt;3,'1 AYAR'!$E$15,0))))</f>
        <v/>
      </c>
      <c r="AC27" s="37" t="str">
        <f aca="false">IF($D27&lt;&gt;"Evet","",F27+H27+J27+L27+N27+P27+R27+T27+V27+X27+Z27+AB27)</f>
        <v/>
      </c>
      <c r="AD27" s="38" t="str">
        <f aca="false">IF($D27&lt;&gt;"Evet","",IF(AC27&gt;='1 AYAR'!$C$27,"A",IF(AC27&gt;='1 AYAR'!$C$28,"B",IF(AC27&gt;='1 AYAR'!$C$29,"C","D"))))</f>
        <v/>
      </c>
      <c r="AE27" s="39" t="str">
        <f aca="false">IF($D27&lt;&gt;"Evet","",AC27+ROW()/10000)</f>
        <v/>
      </c>
      <c r="AF27" s="40"/>
    </row>
    <row r="28" customFormat="false" ht="15" hidden="false" customHeight="false" outlineLevel="0" collapsed="false">
      <c r="A28" s="24" t="str">
        <f aca="false">IF($D28&lt;&gt;"Evet","",RANK(AC28,$AC$6:$AC$44,0))</f>
        <v/>
      </c>
      <c r="B28" s="43" t="s">
        <v>211</v>
      </c>
      <c r="C28" s="32" t="s">
        <v>227</v>
      </c>
      <c r="D28" s="33" t="s">
        <v>196</v>
      </c>
      <c r="E28" s="34"/>
      <c r="F28" s="35" t="str">
        <f aca="false">IF($D28&lt;&gt;"Evet","",IF('1 AYAR'!$C$4="Sayı",MIN(E28*'1 AYAR'!$D$4,'1 AYAR'!$E$4),IF('1 AYAR'!$C$4="Evet/Hayır",IF(OR(E28="Var",E28="Yapıldı",E28="Evet"),'1 AYAR'!$E$4,0),IF(LEN(E28)&gt;3,'1 AYAR'!$E$4,0))))</f>
        <v/>
      </c>
      <c r="G28" s="34"/>
      <c r="H28" s="35" t="str">
        <f aca="false">IF($D28&lt;&gt;"Evet","",IF('1 AYAR'!$C$5="Sayı",MIN(G28*'1 AYAR'!$D$5,'1 AYAR'!$E$5),IF('1 AYAR'!$C$5="Evet/Hayır",IF(OR(G28="Var",G28="Yapıldı",G28="Evet"),'1 AYAR'!$E$5,0),IF(LEN(G28)&gt;3,'1 AYAR'!$E$5,0))))</f>
        <v/>
      </c>
      <c r="I28" s="34"/>
      <c r="J28" s="35" t="str">
        <f aca="false">IF($D28&lt;&gt;"Evet","",IF('1 AYAR'!$C$6="Sayı",MIN(I28*'1 AYAR'!$D$6,'1 AYAR'!$E$6),IF('1 AYAR'!$C$6="Evet/Hayır",IF(OR(I28="Var",I28="Yapıldı",I28="Evet"),'1 AYAR'!$E$6,0),IF(LEN(I28)&gt;3,'1 AYAR'!$E$6,0))))</f>
        <v/>
      </c>
      <c r="K28" s="34"/>
      <c r="L28" s="35" t="str">
        <f aca="false">IF($D28&lt;&gt;"Evet","",IF('1 AYAR'!$C$7="Sayı",MIN(K28*'1 AYAR'!$D$7,'1 AYAR'!$E$7),IF('1 AYAR'!$C$7="Evet/Hayır",IF(OR(K28="Var",K28="Yapıldı",K28="Evet"),'1 AYAR'!$E$7,0),IF(LEN(K28)&gt;3,'1 AYAR'!$E$7,0))))</f>
        <v/>
      </c>
      <c r="M28" s="34"/>
      <c r="N28" s="35" t="str">
        <f aca="false">IF($D28&lt;&gt;"Evet","",IF('1 AYAR'!$C$8="Sayı",MIN(M28*'1 AYAR'!$D$8,'1 AYAR'!$E$8),IF('1 AYAR'!$C$8="Evet/Hayır",IF(OR(M28="Var",M28="Yapıldı",M28="Evet"),'1 AYAR'!$E$8,0),IF(LEN(M28)&gt;3,'1 AYAR'!$E$8,0))))</f>
        <v/>
      </c>
      <c r="O28" s="34"/>
      <c r="P28" s="35" t="str">
        <f aca="false">IF($D28&lt;&gt;"Evet","",IF('1 AYAR'!$C$9="Sayı",MIN(O28*'1 AYAR'!$D$9,'1 AYAR'!$E$9),IF('1 AYAR'!$C$9="Evet/Hayır",IF(OR(O28="Var",O28="Yapıldı",O28="Evet"),'1 AYAR'!$E$9,0),IF(LEN(O28)&gt;3,'1 AYAR'!$E$9,0))))</f>
        <v/>
      </c>
      <c r="Q28" s="34"/>
      <c r="R28" s="35" t="str">
        <f aca="false">IF($D28&lt;&gt;"Evet","",IF('1 AYAR'!$C$10="Sayı",MIN(Q28*'1 AYAR'!$D$10,'1 AYAR'!$E$10),IF('1 AYAR'!$C$10="Evet/Hayır",IF(OR(Q28="Var",Q28="Yapıldı",Q28="Evet"),'1 AYAR'!$E$10,0),IF(LEN(Q28)&gt;3,'1 AYAR'!$E$10,0))))</f>
        <v/>
      </c>
      <c r="S28" s="34"/>
      <c r="T28" s="35" t="str">
        <f aca="false">IF($D28&lt;&gt;"Evet","",IF('1 AYAR'!$C$11="Sayı",MIN(S28*'1 AYAR'!$D$11,'1 AYAR'!$E$11),IF('1 AYAR'!$C$11="Evet/Hayır",IF(OR(S28="Var",S28="Yapıldı",S28="Evet"),'1 AYAR'!$E$11,0),IF(LEN(S28)&gt;3,'1 AYAR'!$E$11,0))))</f>
        <v/>
      </c>
      <c r="U28" s="34"/>
      <c r="V28" s="35" t="str">
        <f aca="false">IF($D28&lt;&gt;"Evet","",IF('1 AYAR'!$C$12="Sayı",MIN(U28*'1 AYAR'!$D$12,'1 AYAR'!$E$12),IF('1 AYAR'!$C$12="Evet/Hayır",IF(OR(U28="Var",U28="Yapıldı",U28="Evet"),'1 AYAR'!$E$12,0),IF(LEN(U28)&gt;3,'1 AYAR'!$E$12,0))))</f>
        <v/>
      </c>
      <c r="W28" s="34"/>
      <c r="X28" s="35" t="str">
        <f aca="false">IF($D28&lt;&gt;"Evet","",IF('1 AYAR'!$C$13="Sayı",MIN(W28*'1 AYAR'!$D$13,'1 AYAR'!$E$13),IF('1 AYAR'!$C$13="Evet/Hayır",IF(OR(W28="Var",W28="Yapıldı",W28="Evet"),'1 AYAR'!$E$13,0),IF(LEN(W28)&gt;3,'1 AYAR'!$E$13,0))))</f>
        <v/>
      </c>
      <c r="Y28" s="34"/>
      <c r="Z28" s="35" t="str">
        <f aca="false">IF($D28&lt;&gt;"Evet","",IF('1 AYAR'!$C$14="Sayı",MIN(Y28*'1 AYAR'!$D$14,'1 AYAR'!$E$14),IF('1 AYAR'!$C$14="Evet/Hayır",IF(OR(Y28="Var",Y28="Yapıldı",Y28="Evet"),'1 AYAR'!$E$14,0),IF(LEN(Y28)&gt;3,'1 AYAR'!$E$14,0))))</f>
        <v/>
      </c>
      <c r="AA28" s="36"/>
      <c r="AB28" s="35" t="str">
        <f aca="false">IF($D28&lt;&gt;"Evet","",IF('1 AYAR'!$C$15="Sayı",MIN(AA28*'1 AYAR'!$D$15,'1 AYAR'!$E$15),IF('1 AYAR'!$C$15="Evet/Hayır",IF(OR(AA28="Var",AA28="Yapıldı",AA28="Evet"),'1 AYAR'!$E$15,0),IF(LEN(AA28)&gt;3,'1 AYAR'!$E$15,0))))</f>
        <v/>
      </c>
      <c r="AC28" s="37" t="str">
        <f aca="false">IF($D28&lt;&gt;"Evet","",F28+H28+J28+L28+N28+P28+R28+T28+V28+X28+Z28+AB28)</f>
        <v/>
      </c>
      <c r="AD28" s="38" t="str">
        <f aca="false">IF($D28&lt;&gt;"Evet","",IF(AC28&gt;='1 AYAR'!$C$27,"A",IF(AC28&gt;='1 AYAR'!$C$28,"B",IF(AC28&gt;='1 AYAR'!$C$29,"C","D"))))</f>
        <v/>
      </c>
      <c r="AE28" s="39" t="str">
        <f aca="false">IF($D28&lt;&gt;"Evet","",AC28+ROW()/10000)</f>
        <v/>
      </c>
      <c r="AF28" s="40"/>
    </row>
    <row r="29" customFormat="false" ht="15" hidden="false" customHeight="false" outlineLevel="0" collapsed="false">
      <c r="A29" s="24" t="str">
        <f aca="false">IF($D29&lt;&gt;"Evet","",RANK(AC29,$AC$6:$AC$44,0))</f>
        <v/>
      </c>
      <c r="B29" s="43" t="s">
        <v>211</v>
      </c>
      <c r="C29" s="32" t="s">
        <v>228</v>
      </c>
      <c r="D29" s="33" t="s">
        <v>196</v>
      </c>
      <c r="E29" s="34"/>
      <c r="F29" s="35" t="str">
        <f aca="false">IF($D29&lt;&gt;"Evet","",IF('1 AYAR'!$C$4="Sayı",MIN(E29*'1 AYAR'!$D$4,'1 AYAR'!$E$4),IF('1 AYAR'!$C$4="Evet/Hayır",IF(OR(E29="Var",E29="Yapıldı",E29="Evet"),'1 AYAR'!$E$4,0),IF(LEN(E29)&gt;3,'1 AYAR'!$E$4,0))))</f>
        <v/>
      </c>
      <c r="G29" s="34"/>
      <c r="H29" s="35" t="str">
        <f aca="false">IF($D29&lt;&gt;"Evet","",IF('1 AYAR'!$C$5="Sayı",MIN(G29*'1 AYAR'!$D$5,'1 AYAR'!$E$5),IF('1 AYAR'!$C$5="Evet/Hayır",IF(OR(G29="Var",G29="Yapıldı",G29="Evet"),'1 AYAR'!$E$5,0),IF(LEN(G29)&gt;3,'1 AYAR'!$E$5,0))))</f>
        <v/>
      </c>
      <c r="I29" s="34"/>
      <c r="J29" s="35" t="str">
        <f aca="false">IF($D29&lt;&gt;"Evet","",IF('1 AYAR'!$C$6="Sayı",MIN(I29*'1 AYAR'!$D$6,'1 AYAR'!$E$6),IF('1 AYAR'!$C$6="Evet/Hayır",IF(OR(I29="Var",I29="Yapıldı",I29="Evet"),'1 AYAR'!$E$6,0),IF(LEN(I29)&gt;3,'1 AYAR'!$E$6,0))))</f>
        <v/>
      </c>
      <c r="K29" s="34"/>
      <c r="L29" s="35" t="str">
        <f aca="false">IF($D29&lt;&gt;"Evet","",IF('1 AYAR'!$C$7="Sayı",MIN(K29*'1 AYAR'!$D$7,'1 AYAR'!$E$7),IF('1 AYAR'!$C$7="Evet/Hayır",IF(OR(K29="Var",K29="Yapıldı",K29="Evet"),'1 AYAR'!$E$7,0),IF(LEN(K29)&gt;3,'1 AYAR'!$E$7,0))))</f>
        <v/>
      </c>
      <c r="M29" s="34"/>
      <c r="N29" s="35" t="str">
        <f aca="false">IF($D29&lt;&gt;"Evet","",IF('1 AYAR'!$C$8="Sayı",MIN(M29*'1 AYAR'!$D$8,'1 AYAR'!$E$8),IF('1 AYAR'!$C$8="Evet/Hayır",IF(OR(M29="Var",M29="Yapıldı",M29="Evet"),'1 AYAR'!$E$8,0),IF(LEN(M29)&gt;3,'1 AYAR'!$E$8,0))))</f>
        <v/>
      </c>
      <c r="O29" s="34"/>
      <c r="P29" s="35" t="str">
        <f aca="false">IF($D29&lt;&gt;"Evet","",IF('1 AYAR'!$C$9="Sayı",MIN(O29*'1 AYAR'!$D$9,'1 AYAR'!$E$9),IF('1 AYAR'!$C$9="Evet/Hayır",IF(OR(O29="Var",O29="Yapıldı",O29="Evet"),'1 AYAR'!$E$9,0),IF(LEN(O29)&gt;3,'1 AYAR'!$E$9,0))))</f>
        <v/>
      </c>
      <c r="Q29" s="34"/>
      <c r="R29" s="35" t="str">
        <f aca="false">IF($D29&lt;&gt;"Evet","",IF('1 AYAR'!$C$10="Sayı",MIN(Q29*'1 AYAR'!$D$10,'1 AYAR'!$E$10),IF('1 AYAR'!$C$10="Evet/Hayır",IF(OR(Q29="Var",Q29="Yapıldı",Q29="Evet"),'1 AYAR'!$E$10,0),IF(LEN(Q29)&gt;3,'1 AYAR'!$E$10,0))))</f>
        <v/>
      </c>
      <c r="S29" s="34"/>
      <c r="T29" s="35" t="str">
        <f aca="false">IF($D29&lt;&gt;"Evet","",IF('1 AYAR'!$C$11="Sayı",MIN(S29*'1 AYAR'!$D$11,'1 AYAR'!$E$11),IF('1 AYAR'!$C$11="Evet/Hayır",IF(OR(S29="Var",S29="Yapıldı",S29="Evet"),'1 AYAR'!$E$11,0),IF(LEN(S29)&gt;3,'1 AYAR'!$E$11,0))))</f>
        <v/>
      </c>
      <c r="U29" s="34"/>
      <c r="V29" s="35" t="str">
        <f aca="false">IF($D29&lt;&gt;"Evet","",IF('1 AYAR'!$C$12="Sayı",MIN(U29*'1 AYAR'!$D$12,'1 AYAR'!$E$12),IF('1 AYAR'!$C$12="Evet/Hayır",IF(OR(U29="Var",U29="Yapıldı",U29="Evet"),'1 AYAR'!$E$12,0),IF(LEN(U29)&gt;3,'1 AYAR'!$E$12,0))))</f>
        <v/>
      </c>
      <c r="W29" s="34"/>
      <c r="X29" s="35" t="str">
        <f aca="false">IF($D29&lt;&gt;"Evet","",IF('1 AYAR'!$C$13="Sayı",MIN(W29*'1 AYAR'!$D$13,'1 AYAR'!$E$13),IF('1 AYAR'!$C$13="Evet/Hayır",IF(OR(W29="Var",W29="Yapıldı",W29="Evet"),'1 AYAR'!$E$13,0),IF(LEN(W29)&gt;3,'1 AYAR'!$E$13,0))))</f>
        <v/>
      </c>
      <c r="Y29" s="34"/>
      <c r="Z29" s="35" t="str">
        <f aca="false">IF($D29&lt;&gt;"Evet","",IF('1 AYAR'!$C$14="Sayı",MIN(Y29*'1 AYAR'!$D$14,'1 AYAR'!$E$14),IF('1 AYAR'!$C$14="Evet/Hayır",IF(OR(Y29="Var",Y29="Yapıldı",Y29="Evet"),'1 AYAR'!$E$14,0),IF(LEN(Y29)&gt;3,'1 AYAR'!$E$14,0))))</f>
        <v/>
      </c>
      <c r="AA29" s="36"/>
      <c r="AB29" s="35" t="str">
        <f aca="false">IF($D29&lt;&gt;"Evet","",IF('1 AYAR'!$C$15="Sayı",MIN(AA29*'1 AYAR'!$D$15,'1 AYAR'!$E$15),IF('1 AYAR'!$C$15="Evet/Hayır",IF(OR(AA29="Var",AA29="Yapıldı",AA29="Evet"),'1 AYAR'!$E$15,0),IF(LEN(AA29)&gt;3,'1 AYAR'!$E$15,0))))</f>
        <v/>
      </c>
      <c r="AC29" s="37" t="str">
        <f aca="false">IF($D29&lt;&gt;"Evet","",F29+H29+J29+L29+N29+P29+R29+T29+V29+X29+Z29+AB29)</f>
        <v/>
      </c>
      <c r="AD29" s="38" t="str">
        <f aca="false">IF($D29&lt;&gt;"Evet","",IF(AC29&gt;='1 AYAR'!$C$27,"A",IF(AC29&gt;='1 AYAR'!$C$28,"B",IF(AC29&gt;='1 AYAR'!$C$29,"C","D"))))</f>
        <v/>
      </c>
      <c r="AE29" s="39" t="str">
        <f aca="false">IF($D29&lt;&gt;"Evet","",AC29+ROW()/10000)</f>
        <v/>
      </c>
      <c r="AF29" s="40"/>
    </row>
    <row r="30" customFormat="false" ht="15" hidden="false" customHeight="false" outlineLevel="0" collapsed="false">
      <c r="A30" s="24" t="str">
        <f aca="false">IF($D30&lt;&gt;"Evet","",RANK(AC30,$AC$6:$AC$44,0))</f>
        <v/>
      </c>
      <c r="B30" s="43" t="s">
        <v>211</v>
      </c>
      <c r="C30" s="32" t="s">
        <v>229</v>
      </c>
      <c r="D30" s="33" t="s">
        <v>196</v>
      </c>
      <c r="E30" s="34"/>
      <c r="F30" s="35" t="str">
        <f aca="false">IF($D30&lt;&gt;"Evet","",IF('1 AYAR'!$C$4="Sayı",MIN(E30*'1 AYAR'!$D$4,'1 AYAR'!$E$4),IF('1 AYAR'!$C$4="Evet/Hayır",IF(OR(E30="Var",E30="Yapıldı",E30="Evet"),'1 AYAR'!$E$4,0),IF(LEN(E30)&gt;3,'1 AYAR'!$E$4,0))))</f>
        <v/>
      </c>
      <c r="G30" s="34"/>
      <c r="H30" s="35" t="str">
        <f aca="false">IF($D30&lt;&gt;"Evet","",IF('1 AYAR'!$C$5="Sayı",MIN(G30*'1 AYAR'!$D$5,'1 AYAR'!$E$5),IF('1 AYAR'!$C$5="Evet/Hayır",IF(OR(G30="Var",G30="Yapıldı",G30="Evet"),'1 AYAR'!$E$5,0),IF(LEN(G30)&gt;3,'1 AYAR'!$E$5,0))))</f>
        <v/>
      </c>
      <c r="I30" s="34"/>
      <c r="J30" s="35" t="str">
        <f aca="false">IF($D30&lt;&gt;"Evet","",IF('1 AYAR'!$C$6="Sayı",MIN(I30*'1 AYAR'!$D$6,'1 AYAR'!$E$6),IF('1 AYAR'!$C$6="Evet/Hayır",IF(OR(I30="Var",I30="Yapıldı",I30="Evet"),'1 AYAR'!$E$6,0),IF(LEN(I30)&gt;3,'1 AYAR'!$E$6,0))))</f>
        <v/>
      </c>
      <c r="K30" s="34"/>
      <c r="L30" s="35" t="str">
        <f aca="false">IF($D30&lt;&gt;"Evet","",IF('1 AYAR'!$C$7="Sayı",MIN(K30*'1 AYAR'!$D$7,'1 AYAR'!$E$7),IF('1 AYAR'!$C$7="Evet/Hayır",IF(OR(K30="Var",K30="Yapıldı",K30="Evet"),'1 AYAR'!$E$7,0),IF(LEN(K30)&gt;3,'1 AYAR'!$E$7,0))))</f>
        <v/>
      </c>
      <c r="M30" s="34"/>
      <c r="N30" s="35" t="str">
        <f aca="false">IF($D30&lt;&gt;"Evet","",IF('1 AYAR'!$C$8="Sayı",MIN(M30*'1 AYAR'!$D$8,'1 AYAR'!$E$8),IF('1 AYAR'!$C$8="Evet/Hayır",IF(OR(M30="Var",M30="Yapıldı",M30="Evet"),'1 AYAR'!$E$8,0),IF(LEN(M30)&gt;3,'1 AYAR'!$E$8,0))))</f>
        <v/>
      </c>
      <c r="O30" s="34"/>
      <c r="P30" s="35" t="str">
        <f aca="false">IF($D30&lt;&gt;"Evet","",IF('1 AYAR'!$C$9="Sayı",MIN(O30*'1 AYAR'!$D$9,'1 AYAR'!$E$9),IF('1 AYAR'!$C$9="Evet/Hayır",IF(OR(O30="Var",O30="Yapıldı",O30="Evet"),'1 AYAR'!$E$9,0),IF(LEN(O30)&gt;3,'1 AYAR'!$E$9,0))))</f>
        <v/>
      </c>
      <c r="Q30" s="34"/>
      <c r="R30" s="35" t="str">
        <f aca="false">IF($D30&lt;&gt;"Evet","",IF('1 AYAR'!$C$10="Sayı",MIN(Q30*'1 AYAR'!$D$10,'1 AYAR'!$E$10),IF('1 AYAR'!$C$10="Evet/Hayır",IF(OR(Q30="Var",Q30="Yapıldı",Q30="Evet"),'1 AYAR'!$E$10,0),IF(LEN(Q30)&gt;3,'1 AYAR'!$E$10,0))))</f>
        <v/>
      </c>
      <c r="S30" s="34"/>
      <c r="T30" s="35" t="str">
        <f aca="false">IF($D30&lt;&gt;"Evet","",IF('1 AYAR'!$C$11="Sayı",MIN(S30*'1 AYAR'!$D$11,'1 AYAR'!$E$11),IF('1 AYAR'!$C$11="Evet/Hayır",IF(OR(S30="Var",S30="Yapıldı",S30="Evet"),'1 AYAR'!$E$11,0),IF(LEN(S30)&gt;3,'1 AYAR'!$E$11,0))))</f>
        <v/>
      </c>
      <c r="U30" s="34"/>
      <c r="V30" s="35" t="str">
        <f aca="false">IF($D30&lt;&gt;"Evet","",IF('1 AYAR'!$C$12="Sayı",MIN(U30*'1 AYAR'!$D$12,'1 AYAR'!$E$12),IF('1 AYAR'!$C$12="Evet/Hayır",IF(OR(U30="Var",U30="Yapıldı",U30="Evet"),'1 AYAR'!$E$12,0),IF(LEN(U30)&gt;3,'1 AYAR'!$E$12,0))))</f>
        <v/>
      </c>
      <c r="W30" s="34"/>
      <c r="X30" s="35" t="str">
        <f aca="false">IF($D30&lt;&gt;"Evet","",IF('1 AYAR'!$C$13="Sayı",MIN(W30*'1 AYAR'!$D$13,'1 AYAR'!$E$13),IF('1 AYAR'!$C$13="Evet/Hayır",IF(OR(W30="Var",W30="Yapıldı",W30="Evet"),'1 AYAR'!$E$13,0),IF(LEN(W30)&gt;3,'1 AYAR'!$E$13,0))))</f>
        <v/>
      </c>
      <c r="Y30" s="34"/>
      <c r="Z30" s="35" t="str">
        <f aca="false">IF($D30&lt;&gt;"Evet","",IF('1 AYAR'!$C$14="Sayı",MIN(Y30*'1 AYAR'!$D$14,'1 AYAR'!$E$14),IF('1 AYAR'!$C$14="Evet/Hayır",IF(OR(Y30="Var",Y30="Yapıldı",Y30="Evet"),'1 AYAR'!$E$14,0),IF(LEN(Y30)&gt;3,'1 AYAR'!$E$14,0))))</f>
        <v/>
      </c>
      <c r="AA30" s="36"/>
      <c r="AB30" s="35" t="str">
        <f aca="false">IF($D30&lt;&gt;"Evet","",IF('1 AYAR'!$C$15="Sayı",MIN(AA30*'1 AYAR'!$D$15,'1 AYAR'!$E$15),IF('1 AYAR'!$C$15="Evet/Hayır",IF(OR(AA30="Var",AA30="Yapıldı",AA30="Evet"),'1 AYAR'!$E$15,0),IF(LEN(AA30)&gt;3,'1 AYAR'!$E$15,0))))</f>
        <v/>
      </c>
      <c r="AC30" s="37" t="str">
        <f aca="false">IF($D30&lt;&gt;"Evet","",F30+H30+J30+L30+N30+P30+R30+T30+V30+X30+Z30+AB30)</f>
        <v/>
      </c>
      <c r="AD30" s="38" t="str">
        <f aca="false">IF($D30&lt;&gt;"Evet","",IF(AC30&gt;='1 AYAR'!$C$27,"A",IF(AC30&gt;='1 AYAR'!$C$28,"B",IF(AC30&gt;='1 AYAR'!$C$29,"C","D"))))</f>
        <v/>
      </c>
      <c r="AE30" s="39" t="str">
        <f aca="false">IF($D30&lt;&gt;"Evet","",AC30+ROW()/10000)</f>
        <v/>
      </c>
      <c r="AF30" s="40"/>
    </row>
    <row r="31" customFormat="false" ht="15" hidden="false" customHeight="false" outlineLevel="0" collapsed="false">
      <c r="A31" s="24" t="n">
        <f aca="false">IF($D31&lt;&gt;"Evet","",RANK(AC31,$AC$6:$AC$44,0))</f>
        <v>8</v>
      </c>
      <c r="B31" s="44" t="s">
        <v>230</v>
      </c>
      <c r="C31" s="41" t="s">
        <v>231</v>
      </c>
      <c r="D31" s="42" t="s">
        <v>202</v>
      </c>
      <c r="E31" s="34" t="n">
        <v>12</v>
      </c>
      <c r="F31" s="35" t="n">
        <f aca="false">IF($D31&lt;&gt;"Evet","",IF('1 AYAR'!$C$4="Sayı",MIN(E31*'1 AYAR'!$D$4,'1 AYAR'!$E$4),IF('1 AYAR'!$C$4="Evet/Hayır",IF(OR(E31="Var",E31="Yapıldı",E31="Evet"),'1 AYAR'!$E$4,0),IF(LEN(E31)&gt;3,'1 AYAR'!$E$4,0))))</f>
        <v>12</v>
      </c>
      <c r="G31" s="34" t="n">
        <v>4</v>
      </c>
      <c r="H31" s="35" t="n">
        <f aca="false">IF($D31&lt;&gt;"Evet","",IF('1 AYAR'!$C$5="Sayı",MIN(G31*'1 AYAR'!$D$5,'1 AYAR'!$E$5),IF('1 AYAR'!$C$5="Evet/Hayır",IF(OR(G31="Var",G31="Yapıldı",G31="Evet"),'1 AYAR'!$E$5,0),IF(LEN(G31)&gt;3,'1 AYAR'!$E$5,0))))</f>
        <v>10</v>
      </c>
      <c r="I31" s="34" t="s">
        <v>213</v>
      </c>
      <c r="J31" s="35" t="n">
        <f aca="false">IF($D31&lt;&gt;"Evet","",IF('1 AYAR'!$C$6="Sayı",MIN(I31*'1 AYAR'!$D$6,'1 AYAR'!$E$6),IF('1 AYAR'!$C$6="Evet/Hayır",IF(OR(I31="Var",I31="Yapıldı",I31="Evet"),'1 AYAR'!$E$6,0),IF(LEN(I31)&gt;3,'1 AYAR'!$E$6,0))))</f>
        <v>5</v>
      </c>
      <c r="K31" s="34" t="n">
        <v>1</v>
      </c>
      <c r="L31" s="35" t="n">
        <f aca="false">IF($D31&lt;&gt;"Evet","",IF('1 AYAR'!$C$7="Sayı",MIN(K31*'1 AYAR'!$D$7,'1 AYAR'!$E$7),IF('1 AYAR'!$C$7="Evet/Hayır",IF(OR(K31="Var",K31="Yapıldı",K31="Evet"),'1 AYAR'!$E$7,0),IF(LEN(K31)&gt;3,'1 AYAR'!$E$7,0))))</f>
        <v>0.5</v>
      </c>
      <c r="M31" s="34" t="n">
        <v>2</v>
      </c>
      <c r="N31" s="35" t="n">
        <f aca="false">IF($D31&lt;&gt;"Evet","",IF('1 AYAR'!$C$8="Sayı",MIN(M31*'1 AYAR'!$D$8,'1 AYAR'!$E$8),IF('1 AYAR'!$C$8="Evet/Hayır",IF(OR(M31="Var",M31="Yapıldı",M31="Evet"),'1 AYAR'!$E$8,0),IF(LEN(M31)&gt;3,'1 AYAR'!$E$8,0))))</f>
        <v>2</v>
      </c>
      <c r="O31" s="34" t="s">
        <v>204</v>
      </c>
      <c r="P31" s="35" t="n">
        <f aca="false">IF($D31&lt;&gt;"Evet","",IF('1 AYAR'!$C$9="Sayı",MIN(O31*'1 AYAR'!$D$9,'1 AYAR'!$E$9),IF('1 AYAR'!$C$9="Evet/Hayır",IF(OR(O31="Var",O31="Yapıldı",O31="Evet"),'1 AYAR'!$E$9,0),IF(LEN(O31)&gt;3,'1 AYAR'!$E$9,0))))</f>
        <v>0</v>
      </c>
      <c r="Q31" s="34" t="s">
        <v>204</v>
      </c>
      <c r="R31" s="35" t="n">
        <f aca="false">IF($D31&lt;&gt;"Evet","",IF('1 AYAR'!$C$10="Sayı",MIN(Q31*'1 AYAR'!$D$10,'1 AYAR'!$E$10),IF('1 AYAR'!$C$10="Evet/Hayır",IF(OR(Q31="Var",Q31="Yapıldı",Q31="Evet"),'1 AYAR'!$E$10,0),IF(LEN(Q31)&gt;3,'1 AYAR'!$E$10,0))))</f>
        <v>0</v>
      </c>
      <c r="S31" s="34" t="n">
        <v>0</v>
      </c>
      <c r="T31" s="35" t="n">
        <f aca="false">IF($D31&lt;&gt;"Evet","",IF('1 AYAR'!$C$11="Sayı",MIN(S31*'1 AYAR'!$D$11,'1 AYAR'!$E$11),IF('1 AYAR'!$C$11="Evet/Hayır",IF(OR(S31="Var",S31="Yapıldı",S31="Evet"),'1 AYAR'!$E$11,0),IF(LEN(S31)&gt;3,'1 AYAR'!$E$11,0))))</f>
        <v>0</v>
      </c>
      <c r="U31" s="34" t="n">
        <v>0</v>
      </c>
      <c r="V31" s="35" t="n">
        <f aca="false">IF($D31&lt;&gt;"Evet","",IF('1 AYAR'!$C$12="Sayı",MIN(U31*'1 AYAR'!$D$12,'1 AYAR'!$E$12),IF('1 AYAR'!$C$12="Evet/Hayır",IF(OR(U31="Var",U31="Yapıldı",U31="Evet"),'1 AYAR'!$E$12,0),IF(LEN(U31)&gt;3,'1 AYAR'!$E$12,0))))</f>
        <v>0</v>
      </c>
      <c r="W31" s="34" t="n">
        <v>3</v>
      </c>
      <c r="X31" s="35" t="n">
        <f aca="false">IF($D31&lt;&gt;"Evet","",IF('1 AYAR'!$C$13="Sayı",MIN(W31*'1 AYAR'!$D$13,'1 AYAR'!$E$13),IF('1 AYAR'!$C$13="Evet/Hayır",IF(OR(W31="Var",W31="Yapıldı",W31="Evet"),'1 AYAR'!$E$13,0),IF(LEN(W31)&gt;3,'1 AYAR'!$E$13,0))))</f>
        <v>3</v>
      </c>
      <c r="Y31" s="34" t="n">
        <v>0</v>
      </c>
      <c r="Z31" s="35" t="n">
        <f aca="false">IF($D31&lt;&gt;"Evet","",IF('1 AYAR'!$C$14="Sayı",MIN(Y31*'1 AYAR'!$D$14,'1 AYAR'!$E$14),IF('1 AYAR'!$C$14="Evet/Hayır",IF(OR(Y31="Var",Y31="Yapıldı",Y31="Evet"),'1 AYAR'!$E$14,0),IF(LEN(Y31)&gt;3,'1 AYAR'!$E$14,0))))</f>
        <v>0</v>
      </c>
      <c r="AA31" s="36"/>
      <c r="AB31" s="35" t="n">
        <f aca="false">IF($D31&lt;&gt;"Evet","",IF('1 AYAR'!$C$15="Sayı",MIN(AA31*'1 AYAR'!$D$15,'1 AYAR'!$E$15),IF('1 AYAR'!$C$15="Evet/Hayır",IF(OR(AA31="Var",AA31="Yapıldı",AA31="Evet"),'1 AYAR'!$E$15,0),IF(LEN(AA31)&gt;3,'1 AYAR'!$E$15,0))))</f>
        <v>0</v>
      </c>
      <c r="AC31" s="37" t="n">
        <f aca="false">IF($D31&lt;&gt;"Evet","",F31+H31+J31+L31+N31+P31+R31+T31+V31+X31+Z31+AB31)</f>
        <v>32.5</v>
      </c>
      <c r="AD31" s="38" t="str">
        <f aca="false">IF($D31&lt;&gt;"Evet","",IF(AC31&gt;='1 AYAR'!$C$27,"A",IF(AC31&gt;='1 AYAR'!$C$28,"B",IF(AC31&gt;='1 AYAR'!$C$29,"C","D"))))</f>
        <v>D</v>
      </c>
      <c r="AE31" s="39" t="n">
        <f aca="false">IF($D31&lt;&gt;"Evet","",AC31+ROW()/10000)</f>
        <v>32.5031</v>
      </c>
      <c r="AF31" s="40"/>
    </row>
    <row r="32" customFormat="false" ht="15" hidden="false" customHeight="false" outlineLevel="0" collapsed="false">
      <c r="A32" s="24" t="n">
        <f aca="false">IF($D32&lt;&gt;"Evet","",RANK(AC32,$AC$6:$AC$44,0))</f>
        <v>7</v>
      </c>
      <c r="B32" s="44" t="s">
        <v>230</v>
      </c>
      <c r="C32" s="41" t="s">
        <v>232</v>
      </c>
      <c r="D32" s="42" t="s">
        <v>202</v>
      </c>
      <c r="E32" s="34" t="n">
        <v>6</v>
      </c>
      <c r="F32" s="35" t="n">
        <f aca="false">IF($D32&lt;&gt;"Evet","",IF('1 AYAR'!$C$4="Sayı",MIN(E32*'1 AYAR'!$D$4,'1 AYAR'!$E$4),IF('1 AYAR'!$C$4="Evet/Hayır",IF(OR(E32="Var",E32="Yapıldı",E32="Evet"),'1 AYAR'!$E$4,0),IF(LEN(E32)&gt;3,'1 AYAR'!$E$4,0))))</f>
        <v>6</v>
      </c>
      <c r="G32" s="34" t="n">
        <v>4</v>
      </c>
      <c r="H32" s="35" t="n">
        <f aca="false">IF($D32&lt;&gt;"Evet","",IF('1 AYAR'!$C$5="Sayı",MIN(G32*'1 AYAR'!$D$5,'1 AYAR'!$E$5),IF('1 AYAR'!$C$5="Evet/Hayır",IF(OR(G32="Var",G32="Yapıldı",G32="Evet"),'1 AYAR'!$E$5,0),IF(LEN(G32)&gt;3,'1 AYAR'!$E$5,0))))</f>
        <v>10</v>
      </c>
      <c r="I32" s="34" t="s">
        <v>213</v>
      </c>
      <c r="J32" s="35" t="n">
        <f aca="false">IF($D32&lt;&gt;"Evet","",IF('1 AYAR'!$C$6="Sayı",MIN(I32*'1 AYAR'!$D$6,'1 AYAR'!$E$6),IF('1 AYAR'!$C$6="Evet/Hayır",IF(OR(I32="Var",I32="Yapıldı",I32="Evet"),'1 AYAR'!$E$6,0),IF(LEN(I32)&gt;3,'1 AYAR'!$E$6,0))))</f>
        <v>5</v>
      </c>
      <c r="K32" s="34" t="n">
        <v>6</v>
      </c>
      <c r="L32" s="35" t="n">
        <f aca="false">IF($D32&lt;&gt;"Evet","",IF('1 AYAR'!$C$7="Sayı",MIN(K32*'1 AYAR'!$D$7,'1 AYAR'!$E$7),IF('1 AYAR'!$C$7="Evet/Hayır",IF(OR(K32="Var",K32="Yapıldı",K32="Evet"),'1 AYAR'!$E$7,0),IF(LEN(K32)&gt;3,'1 AYAR'!$E$7,0))))</f>
        <v>3</v>
      </c>
      <c r="M32" s="34" t="n">
        <v>1</v>
      </c>
      <c r="N32" s="35" t="n">
        <f aca="false">IF($D32&lt;&gt;"Evet","",IF('1 AYAR'!$C$8="Sayı",MIN(M32*'1 AYAR'!$D$8,'1 AYAR'!$E$8),IF('1 AYAR'!$C$8="Evet/Hayır",IF(OR(M32="Var",M32="Yapıldı",M32="Evet"),'1 AYAR'!$E$8,0),IF(LEN(M32)&gt;3,'1 AYAR'!$E$8,0))))</f>
        <v>1</v>
      </c>
      <c r="O32" s="34" t="s">
        <v>204</v>
      </c>
      <c r="P32" s="35" t="n">
        <f aca="false">IF($D32&lt;&gt;"Evet","",IF('1 AYAR'!$C$9="Sayı",MIN(O32*'1 AYAR'!$D$9,'1 AYAR'!$E$9),IF('1 AYAR'!$C$9="Evet/Hayır",IF(OR(O32="Var",O32="Yapıldı",O32="Evet"),'1 AYAR'!$E$9,0),IF(LEN(O32)&gt;3,'1 AYAR'!$E$9,0))))</f>
        <v>0</v>
      </c>
      <c r="Q32" s="34" t="s">
        <v>204</v>
      </c>
      <c r="R32" s="35" t="n">
        <f aca="false">IF($D32&lt;&gt;"Evet","",IF('1 AYAR'!$C$10="Sayı",MIN(Q32*'1 AYAR'!$D$10,'1 AYAR'!$E$10),IF('1 AYAR'!$C$10="Evet/Hayır",IF(OR(Q32="Var",Q32="Yapıldı",Q32="Evet"),'1 AYAR'!$E$10,0),IF(LEN(Q32)&gt;3,'1 AYAR'!$E$10,0))))</f>
        <v>0</v>
      </c>
      <c r="S32" s="34" t="n">
        <v>1</v>
      </c>
      <c r="T32" s="35" t="n">
        <f aca="false">IF($D32&lt;&gt;"Evet","",IF('1 AYAR'!$C$11="Sayı",MIN(S32*'1 AYAR'!$D$11,'1 AYAR'!$E$11),IF('1 AYAR'!$C$11="Evet/Hayır",IF(OR(S32="Var",S32="Yapıldı",S32="Evet"),'1 AYAR'!$E$11,0),IF(LEN(S32)&gt;3,'1 AYAR'!$E$11,0))))</f>
        <v>1</v>
      </c>
      <c r="U32" s="34" t="n">
        <v>2</v>
      </c>
      <c r="V32" s="35" t="n">
        <f aca="false">IF($D32&lt;&gt;"Evet","",IF('1 AYAR'!$C$12="Sayı",MIN(U32*'1 AYAR'!$D$12,'1 AYAR'!$E$12),IF('1 AYAR'!$C$12="Evet/Hayır",IF(OR(U32="Var",U32="Yapıldı",U32="Evet"),'1 AYAR'!$E$12,0),IF(LEN(U32)&gt;3,'1 AYAR'!$E$12,0))))</f>
        <v>2</v>
      </c>
      <c r="W32" s="34" t="n">
        <v>2</v>
      </c>
      <c r="X32" s="35" t="n">
        <f aca="false">IF($D32&lt;&gt;"Evet","",IF('1 AYAR'!$C$13="Sayı",MIN(W32*'1 AYAR'!$D$13,'1 AYAR'!$E$13),IF('1 AYAR'!$C$13="Evet/Hayır",IF(OR(W32="Var",W32="Yapıldı",W32="Evet"),'1 AYAR'!$E$13,0),IF(LEN(W32)&gt;3,'1 AYAR'!$E$13,0))))</f>
        <v>2</v>
      </c>
      <c r="Y32" s="34" t="n">
        <v>0</v>
      </c>
      <c r="Z32" s="35" t="n">
        <f aca="false">IF($D32&lt;&gt;"Evet","",IF('1 AYAR'!$C$14="Sayı",MIN(Y32*'1 AYAR'!$D$14,'1 AYAR'!$E$14),IF('1 AYAR'!$C$14="Evet/Hayır",IF(OR(Y32="Var",Y32="Yapıldı",Y32="Evet"),'1 AYAR'!$E$14,0),IF(LEN(Y32)&gt;3,'1 AYAR'!$E$14,0))))</f>
        <v>0</v>
      </c>
      <c r="AA32" s="36" t="s">
        <v>233</v>
      </c>
      <c r="AB32" s="35" t="n">
        <f aca="false">IF($D32&lt;&gt;"Evet","",IF('1 AYAR'!$C$15="Sayı",MIN(AA32*'1 AYAR'!$D$15,'1 AYAR'!$E$15),IF('1 AYAR'!$C$15="Evet/Hayır",IF(OR(AA32="Var",AA32="Yapıldı",AA32="Evet"),'1 AYAR'!$E$15,0),IF(LEN(AA32)&gt;3,'1 AYAR'!$E$15,0))))</f>
        <v>5</v>
      </c>
      <c r="AC32" s="37" t="n">
        <f aca="false">IF($D32&lt;&gt;"Evet","",F32+H32+J32+L32+N32+P32+R32+T32+V32+X32+Z32+AB32)</f>
        <v>35</v>
      </c>
      <c r="AD32" s="38" t="str">
        <f aca="false">IF($D32&lt;&gt;"Evet","",IF(AC32&gt;='1 AYAR'!$C$27,"A",IF(AC32&gt;='1 AYAR'!$C$28,"B",IF(AC32&gt;='1 AYAR'!$C$29,"C","D"))))</f>
        <v>C</v>
      </c>
      <c r="AE32" s="39" t="n">
        <f aca="false">IF($D32&lt;&gt;"Evet","",AC32+ROW()/10000)</f>
        <v>35.0032</v>
      </c>
      <c r="AF32" s="40"/>
    </row>
    <row r="33" customFormat="false" ht="15" hidden="false" customHeight="false" outlineLevel="0" collapsed="false">
      <c r="A33" s="24" t="str">
        <f aca="false">IF($D33&lt;&gt;"Evet","",RANK(AC33,$AC$6:$AC$44,0))</f>
        <v/>
      </c>
      <c r="B33" s="44" t="s">
        <v>230</v>
      </c>
      <c r="C33" s="32" t="s">
        <v>234</v>
      </c>
      <c r="D33" s="33" t="s">
        <v>196</v>
      </c>
      <c r="E33" s="34"/>
      <c r="F33" s="35" t="str">
        <f aca="false">IF($D33&lt;&gt;"Evet","",IF('1 AYAR'!$C$4="Sayı",MIN(E33*'1 AYAR'!$D$4,'1 AYAR'!$E$4),IF('1 AYAR'!$C$4="Evet/Hayır",IF(OR(E33="Var",E33="Yapıldı",E33="Evet"),'1 AYAR'!$E$4,0),IF(LEN(E33)&gt;3,'1 AYAR'!$E$4,0))))</f>
        <v/>
      </c>
      <c r="G33" s="34"/>
      <c r="H33" s="35" t="str">
        <f aca="false">IF($D33&lt;&gt;"Evet","",IF('1 AYAR'!$C$5="Sayı",MIN(G33*'1 AYAR'!$D$5,'1 AYAR'!$E$5),IF('1 AYAR'!$C$5="Evet/Hayır",IF(OR(G33="Var",G33="Yapıldı",G33="Evet"),'1 AYAR'!$E$5,0),IF(LEN(G33)&gt;3,'1 AYAR'!$E$5,0))))</f>
        <v/>
      </c>
      <c r="I33" s="34"/>
      <c r="J33" s="35" t="str">
        <f aca="false">IF($D33&lt;&gt;"Evet","",IF('1 AYAR'!$C$6="Sayı",MIN(I33*'1 AYAR'!$D$6,'1 AYAR'!$E$6),IF('1 AYAR'!$C$6="Evet/Hayır",IF(OR(I33="Var",I33="Yapıldı",I33="Evet"),'1 AYAR'!$E$6,0),IF(LEN(I33)&gt;3,'1 AYAR'!$E$6,0))))</f>
        <v/>
      </c>
      <c r="K33" s="34"/>
      <c r="L33" s="35" t="str">
        <f aca="false">IF($D33&lt;&gt;"Evet","",IF('1 AYAR'!$C$7="Sayı",MIN(K33*'1 AYAR'!$D$7,'1 AYAR'!$E$7),IF('1 AYAR'!$C$7="Evet/Hayır",IF(OR(K33="Var",K33="Yapıldı",K33="Evet"),'1 AYAR'!$E$7,0),IF(LEN(K33)&gt;3,'1 AYAR'!$E$7,0))))</f>
        <v/>
      </c>
      <c r="M33" s="34"/>
      <c r="N33" s="35" t="str">
        <f aca="false">IF($D33&lt;&gt;"Evet","",IF('1 AYAR'!$C$8="Sayı",MIN(M33*'1 AYAR'!$D$8,'1 AYAR'!$E$8),IF('1 AYAR'!$C$8="Evet/Hayır",IF(OR(M33="Var",M33="Yapıldı",M33="Evet"),'1 AYAR'!$E$8,0),IF(LEN(M33)&gt;3,'1 AYAR'!$E$8,0))))</f>
        <v/>
      </c>
      <c r="O33" s="34"/>
      <c r="P33" s="35" t="str">
        <f aca="false">IF($D33&lt;&gt;"Evet","",IF('1 AYAR'!$C$9="Sayı",MIN(O33*'1 AYAR'!$D$9,'1 AYAR'!$E$9),IF('1 AYAR'!$C$9="Evet/Hayır",IF(OR(O33="Var",O33="Yapıldı",O33="Evet"),'1 AYAR'!$E$9,0),IF(LEN(O33)&gt;3,'1 AYAR'!$E$9,0))))</f>
        <v/>
      </c>
      <c r="Q33" s="34"/>
      <c r="R33" s="35" t="str">
        <f aca="false">IF($D33&lt;&gt;"Evet","",IF('1 AYAR'!$C$10="Sayı",MIN(Q33*'1 AYAR'!$D$10,'1 AYAR'!$E$10),IF('1 AYAR'!$C$10="Evet/Hayır",IF(OR(Q33="Var",Q33="Yapıldı",Q33="Evet"),'1 AYAR'!$E$10,0),IF(LEN(Q33)&gt;3,'1 AYAR'!$E$10,0))))</f>
        <v/>
      </c>
      <c r="S33" s="34"/>
      <c r="T33" s="35" t="str">
        <f aca="false">IF($D33&lt;&gt;"Evet","",IF('1 AYAR'!$C$11="Sayı",MIN(S33*'1 AYAR'!$D$11,'1 AYAR'!$E$11),IF('1 AYAR'!$C$11="Evet/Hayır",IF(OR(S33="Var",S33="Yapıldı",S33="Evet"),'1 AYAR'!$E$11,0),IF(LEN(S33)&gt;3,'1 AYAR'!$E$11,0))))</f>
        <v/>
      </c>
      <c r="U33" s="34"/>
      <c r="V33" s="35" t="str">
        <f aca="false">IF($D33&lt;&gt;"Evet","",IF('1 AYAR'!$C$12="Sayı",MIN(U33*'1 AYAR'!$D$12,'1 AYAR'!$E$12),IF('1 AYAR'!$C$12="Evet/Hayır",IF(OR(U33="Var",U33="Yapıldı",U33="Evet"),'1 AYAR'!$E$12,0),IF(LEN(U33)&gt;3,'1 AYAR'!$E$12,0))))</f>
        <v/>
      </c>
      <c r="W33" s="34"/>
      <c r="X33" s="35" t="str">
        <f aca="false">IF($D33&lt;&gt;"Evet","",IF('1 AYAR'!$C$13="Sayı",MIN(W33*'1 AYAR'!$D$13,'1 AYAR'!$E$13),IF('1 AYAR'!$C$13="Evet/Hayır",IF(OR(W33="Var",W33="Yapıldı",W33="Evet"),'1 AYAR'!$E$13,0),IF(LEN(W33)&gt;3,'1 AYAR'!$E$13,0))))</f>
        <v/>
      </c>
      <c r="Y33" s="34"/>
      <c r="Z33" s="35" t="str">
        <f aca="false">IF($D33&lt;&gt;"Evet","",IF('1 AYAR'!$C$14="Sayı",MIN(Y33*'1 AYAR'!$D$14,'1 AYAR'!$E$14),IF('1 AYAR'!$C$14="Evet/Hayır",IF(OR(Y33="Var",Y33="Yapıldı",Y33="Evet"),'1 AYAR'!$E$14,0),IF(LEN(Y33)&gt;3,'1 AYAR'!$E$14,0))))</f>
        <v/>
      </c>
      <c r="AA33" s="36"/>
      <c r="AB33" s="35" t="str">
        <f aca="false">IF($D33&lt;&gt;"Evet","",IF('1 AYAR'!$C$15="Sayı",MIN(AA33*'1 AYAR'!$D$15,'1 AYAR'!$E$15),IF('1 AYAR'!$C$15="Evet/Hayır",IF(OR(AA33="Var",AA33="Yapıldı",AA33="Evet"),'1 AYAR'!$E$15,0),IF(LEN(AA33)&gt;3,'1 AYAR'!$E$15,0))))</f>
        <v/>
      </c>
      <c r="AC33" s="37" t="str">
        <f aca="false">IF($D33&lt;&gt;"Evet","",F33+H33+J33+L33+N33+P33+R33+T33+V33+X33+Z33+AB33)</f>
        <v/>
      </c>
      <c r="AD33" s="38" t="str">
        <f aca="false">IF($D33&lt;&gt;"Evet","",IF(AC33&gt;='1 AYAR'!$C$27,"A",IF(AC33&gt;='1 AYAR'!$C$28,"B",IF(AC33&gt;='1 AYAR'!$C$29,"C","D"))))</f>
        <v/>
      </c>
      <c r="AE33" s="39" t="str">
        <f aca="false">IF($D33&lt;&gt;"Evet","",AC33+ROW()/10000)</f>
        <v/>
      </c>
      <c r="AF33" s="40"/>
    </row>
    <row r="34" customFormat="false" ht="15" hidden="false" customHeight="false" outlineLevel="0" collapsed="false">
      <c r="A34" s="24" t="str">
        <f aca="false">IF($D34&lt;&gt;"Evet","",RANK(AC34,$AC$6:$AC$44,0))</f>
        <v/>
      </c>
      <c r="B34" s="44" t="s">
        <v>230</v>
      </c>
      <c r="C34" s="32" t="s">
        <v>235</v>
      </c>
      <c r="D34" s="33" t="s">
        <v>196</v>
      </c>
      <c r="E34" s="34"/>
      <c r="F34" s="35" t="str">
        <f aca="false">IF($D34&lt;&gt;"Evet","",IF('1 AYAR'!$C$4="Sayı",MIN(E34*'1 AYAR'!$D$4,'1 AYAR'!$E$4),IF('1 AYAR'!$C$4="Evet/Hayır",IF(OR(E34="Var",E34="Yapıldı",E34="Evet"),'1 AYAR'!$E$4,0),IF(LEN(E34)&gt;3,'1 AYAR'!$E$4,0))))</f>
        <v/>
      </c>
      <c r="G34" s="34"/>
      <c r="H34" s="35" t="str">
        <f aca="false">IF($D34&lt;&gt;"Evet","",IF('1 AYAR'!$C$5="Sayı",MIN(G34*'1 AYAR'!$D$5,'1 AYAR'!$E$5),IF('1 AYAR'!$C$5="Evet/Hayır",IF(OR(G34="Var",G34="Yapıldı",G34="Evet"),'1 AYAR'!$E$5,0),IF(LEN(G34)&gt;3,'1 AYAR'!$E$5,0))))</f>
        <v/>
      </c>
      <c r="I34" s="34"/>
      <c r="J34" s="35" t="str">
        <f aca="false">IF($D34&lt;&gt;"Evet","",IF('1 AYAR'!$C$6="Sayı",MIN(I34*'1 AYAR'!$D$6,'1 AYAR'!$E$6),IF('1 AYAR'!$C$6="Evet/Hayır",IF(OR(I34="Var",I34="Yapıldı",I34="Evet"),'1 AYAR'!$E$6,0),IF(LEN(I34)&gt;3,'1 AYAR'!$E$6,0))))</f>
        <v/>
      </c>
      <c r="K34" s="34"/>
      <c r="L34" s="35" t="str">
        <f aca="false">IF($D34&lt;&gt;"Evet","",IF('1 AYAR'!$C$7="Sayı",MIN(K34*'1 AYAR'!$D$7,'1 AYAR'!$E$7),IF('1 AYAR'!$C$7="Evet/Hayır",IF(OR(K34="Var",K34="Yapıldı",K34="Evet"),'1 AYAR'!$E$7,0),IF(LEN(K34)&gt;3,'1 AYAR'!$E$7,0))))</f>
        <v/>
      </c>
      <c r="M34" s="34"/>
      <c r="N34" s="35" t="str">
        <f aca="false">IF($D34&lt;&gt;"Evet","",IF('1 AYAR'!$C$8="Sayı",MIN(M34*'1 AYAR'!$D$8,'1 AYAR'!$E$8),IF('1 AYAR'!$C$8="Evet/Hayır",IF(OR(M34="Var",M34="Yapıldı",M34="Evet"),'1 AYAR'!$E$8,0),IF(LEN(M34)&gt;3,'1 AYAR'!$E$8,0))))</f>
        <v/>
      </c>
      <c r="O34" s="34"/>
      <c r="P34" s="35" t="str">
        <f aca="false">IF($D34&lt;&gt;"Evet","",IF('1 AYAR'!$C$9="Sayı",MIN(O34*'1 AYAR'!$D$9,'1 AYAR'!$E$9),IF('1 AYAR'!$C$9="Evet/Hayır",IF(OR(O34="Var",O34="Yapıldı",O34="Evet"),'1 AYAR'!$E$9,0),IF(LEN(O34)&gt;3,'1 AYAR'!$E$9,0))))</f>
        <v/>
      </c>
      <c r="Q34" s="34"/>
      <c r="R34" s="35" t="str">
        <f aca="false">IF($D34&lt;&gt;"Evet","",IF('1 AYAR'!$C$10="Sayı",MIN(Q34*'1 AYAR'!$D$10,'1 AYAR'!$E$10),IF('1 AYAR'!$C$10="Evet/Hayır",IF(OR(Q34="Var",Q34="Yapıldı",Q34="Evet"),'1 AYAR'!$E$10,0),IF(LEN(Q34)&gt;3,'1 AYAR'!$E$10,0))))</f>
        <v/>
      </c>
      <c r="S34" s="34"/>
      <c r="T34" s="35" t="str">
        <f aca="false">IF($D34&lt;&gt;"Evet","",IF('1 AYAR'!$C$11="Sayı",MIN(S34*'1 AYAR'!$D$11,'1 AYAR'!$E$11),IF('1 AYAR'!$C$11="Evet/Hayır",IF(OR(S34="Var",S34="Yapıldı",S34="Evet"),'1 AYAR'!$E$11,0),IF(LEN(S34)&gt;3,'1 AYAR'!$E$11,0))))</f>
        <v/>
      </c>
      <c r="U34" s="34"/>
      <c r="V34" s="35" t="str">
        <f aca="false">IF($D34&lt;&gt;"Evet","",IF('1 AYAR'!$C$12="Sayı",MIN(U34*'1 AYAR'!$D$12,'1 AYAR'!$E$12),IF('1 AYAR'!$C$12="Evet/Hayır",IF(OR(U34="Var",U34="Yapıldı",U34="Evet"),'1 AYAR'!$E$12,0),IF(LEN(U34)&gt;3,'1 AYAR'!$E$12,0))))</f>
        <v/>
      </c>
      <c r="W34" s="34"/>
      <c r="X34" s="35" t="str">
        <f aca="false">IF($D34&lt;&gt;"Evet","",IF('1 AYAR'!$C$13="Sayı",MIN(W34*'1 AYAR'!$D$13,'1 AYAR'!$E$13),IF('1 AYAR'!$C$13="Evet/Hayır",IF(OR(W34="Var",W34="Yapıldı",W34="Evet"),'1 AYAR'!$E$13,0),IF(LEN(W34)&gt;3,'1 AYAR'!$E$13,0))))</f>
        <v/>
      </c>
      <c r="Y34" s="34"/>
      <c r="Z34" s="35" t="str">
        <f aca="false">IF($D34&lt;&gt;"Evet","",IF('1 AYAR'!$C$14="Sayı",MIN(Y34*'1 AYAR'!$D$14,'1 AYAR'!$E$14),IF('1 AYAR'!$C$14="Evet/Hayır",IF(OR(Y34="Var",Y34="Yapıldı",Y34="Evet"),'1 AYAR'!$E$14,0),IF(LEN(Y34)&gt;3,'1 AYAR'!$E$14,0))))</f>
        <v/>
      </c>
      <c r="AA34" s="36"/>
      <c r="AB34" s="35" t="str">
        <f aca="false">IF($D34&lt;&gt;"Evet","",IF('1 AYAR'!$C$15="Sayı",MIN(AA34*'1 AYAR'!$D$15,'1 AYAR'!$E$15),IF('1 AYAR'!$C$15="Evet/Hayır",IF(OR(AA34="Var",AA34="Yapıldı",AA34="Evet"),'1 AYAR'!$E$15,0),IF(LEN(AA34)&gt;3,'1 AYAR'!$E$15,0))))</f>
        <v/>
      </c>
      <c r="AC34" s="37" t="str">
        <f aca="false">IF($D34&lt;&gt;"Evet","",F34+H34+J34+L34+N34+P34+R34+T34+V34+X34+Z34+AB34)</f>
        <v/>
      </c>
      <c r="AD34" s="38" t="str">
        <f aca="false">IF($D34&lt;&gt;"Evet","",IF(AC34&gt;='1 AYAR'!$C$27,"A",IF(AC34&gt;='1 AYAR'!$C$28,"B",IF(AC34&gt;='1 AYAR'!$C$29,"C","D"))))</f>
        <v/>
      </c>
      <c r="AE34" s="39" t="str">
        <f aca="false">IF($D34&lt;&gt;"Evet","",AC34+ROW()/10000)</f>
        <v/>
      </c>
      <c r="AF34" s="40"/>
    </row>
    <row r="35" customFormat="false" ht="15" hidden="false" customHeight="false" outlineLevel="0" collapsed="false">
      <c r="A35" s="24" t="str">
        <f aca="false">IF($D35&lt;&gt;"Evet","",RANK(AC35,$AC$6:$AC$44,0))</f>
        <v/>
      </c>
      <c r="B35" s="44" t="s">
        <v>230</v>
      </c>
      <c r="C35" s="32" t="s">
        <v>236</v>
      </c>
      <c r="D35" s="33" t="s">
        <v>196</v>
      </c>
      <c r="E35" s="34"/>
      <c r="F35" s="35" t="str">
        <f aca="false">IF($D35&lt;&gt;"Evet","",IF('1 AYAR'!$C$4="Sayı",MIN(E35*'1 AYAR'!$D$4,'1 AYAR'!$E$4),IF('1 AYAR'!$C$4="Evet/Hayır",IF(OR(E35="Var",E35="Yapıldı",E35="Evet"),'1 AYAR'!$E$4,0),IF(LEN(E35)&gt;3,'1 AYAR'!$E$4,0))))</f>
        <v/>
      </c>
      <c r="G35" s="34"/>
      <c r="H35" s="35" t="str">
        <f aca="false">IF($D35&lt;&gt;"Evet","",IF('1 AYAR'!$C$5="Sayı",MIN(G35*'1 AYAR'!$D$5,'1 AYAR'!$E$5),IF('1 AYAR'!$C$5="Evet/Hayır",IF(OR(G35="Var",G35="Yapıldı",G35="Evet"),'1 AYAR'!$E$5,0),IF(LEN(G35)&gt;3,'1 AYAR'!$E$5,0))))</f>
        <v/>
      </c>
      <c r="I35" s="34"/>
      <c r="J35" s="35" t="str">
        <f aca="false">IF($D35&lt;&gt;"Evet","",IF('1 AYAR'!$C$6="Sayı",MIN(I35*'1 AYAR'!$D$6,'1 AYAR'!$E$6),IF('1 AYAR'!$C$6="Evet/Hayır",IF(OR(I35="Var",I35="Yapıldı",I35="Evet"),'1 AYAR'!$E$6,0),IF(LEN(I35)&gt;3,'1 AYAR'!$E$6,0))))</f>
        <v/>
      </c>
      <c r="K35" s="34"/>
      <c r="L35" s="35" t="str">
        <f aca="false">IF($D35&lt;&gt;"Evet","",IF('1 AYAR'!$C$7="Sayı",MIN(K35*'1 AYAR'!$D$7,'1 AYAR'!$E$7),IF('1 AYAR'!$C$7="Evet/Hayır",IF(OR(K35="Var",K35="Yapıldı",K35="Evet"),'1 AYAR'!$E$7,0),IF(LEN(K35)&gt;3,'1 AYAR'!$E$7,0))))</f>
        <v/>
      </c>
      <c r="M35" s="34"/>
      <c r="N35" s="35" t="str">
        <f aca="false">IF($D35&lt;&gt;"Evet","",IF('1 AYAR'!$C$8="Sayı",MIN(M35*'1 AYAR'!$D$8,'1 AYAR'!$E$8),IF('1 AYAR'!$C$8="Evet/Hayır",IF(OR(M35="Var",M35="Yapıldı",M35="Evet"),'1 AYAR'!$E$8,0),IF(LEN(M35)&gt;3,'1 AYAR'!$E$8,0))))</f>
        <v/>
      </c>
      <c r="O35" s="34"/>
      <c r="P35" s="35" t="str">
        <f aca="false">IF($D35&lt;&gt;"Evet","",IF('1 AYAR'!$C$9="Sayı",MIN(O35*'1 AYAR'!$D$9,'1 AYAR'!$E$9),IF('1 AYAR'!$C$9="Evet/Hayır",IF(OR(O35="Var",O35="Yapıldı",O35="Evet"),'1 AYAR'!$E$9,0),IF(LEN(O35)&gt;3,'1 AYAR'!$E$9,0))))</f>
        <v/>
      </c>
      <c r="Q35" s="34"/>
      <c r="R35" s="35" t="str">
        <f aca="false">IF($D35&lt;&gt;"Evet","",IF('1 AYAR'!$C$10="Sayı",MIN(Q35*'1 AYAR'!$D$10,'1 AYAR'!$E$10),IF('1 AYAR'!$C$10="Evet/Hayır",IF(OR(Q35="Var",Q35="Yapıldı",Q35="Evet"),'1 AYAR'!$E$10,0),IF(LEN(Q35)&gt;3,'1 AYAR'!$E$10,0))))</f>
        <v/>
      </c>
      <c r="S35" s="34"/>
      <c r="T35" s="35" t="str">
        <f aca="false">IF($D35&lt;&gt;"Evet","",IF('1 AYAR'!$C$11="Sayı",MIN(S35*'1 AYAR'!$D$11,'1 AYAR'!$E$11),IF('1 AYAR'!$C$11="Evet/Hayır",IF(OR(S35="Var",S35="Yapıldı",S35="Evet"),'1 AYAR'!$E$11,0),IF(LEN(S35)&gt;3,'1 AYAR'!$E$11,0))))</f>
        <v/>
      </c>
      <c r="U35" s="34"/>
      <c r="V35" s="35" t="str">
        <f aca="false">IF($D35&lt;&gt;"Evet","",IF('1 AYAR'!$C$12="Sayı",MIN(U35*'1 AYAR'!$D$12,'1 AYAR'!$E$12),IF('1 AYAR'!$C$12="Evet/Hayır",IF(OR(U35="Var",U35="Yapıldı",U35="Evet"),'1 AYAR'!$E$12,0),IF(LEN(U35)&gt;3,'1 AYAR'!$E$12,0))))</f>
        <v/>
      </c>
      <c r="W35" s="34"/>
      <c r="X35" s="35" t="str">
        <f aca="false">IF($D35&lt;&gt;"Evet","",IF('1 AYAR'!$C$13="Sayı",MIN(W35*'1 AYAR'!$D$13,'1 AYAR'!$E$13),IF('1 AYAR'!$C$13="Evet/Hayır",IF(OR(W35="Var",W35="Yapıldı",W35="Evet"),'1 AYAR'!$E$13,0),IF(LEN(W35)&gt;3,'1 AYAR'!$E$13,0))))</f>
        <v/>
      </c>
      <c r="Y35" s="34"/>
      <c r="Z35" s="35" t="str">
        <f aca="false">IF($D35&lt;&gt;"Evet","",IF('1 AYAR'!$C$14="Sayı",MIN(Y35*'1 AYAR'!$D$14,'1 AYAR'!$E$14),IF('1 AYAR'!$C$14="Evet/Hayır",IF(OR(Y35="Var",Y35="Yapıldı",Y35="Evet"),'1 AYAR'!$E$14,0),IF(LEN(Y35)&gt;3,'1 AYAR'!$E$14,0))))</f>
        <v/>
      </c>
      <c r="AA35" s="36"/>
      <c r="AB35" s="35" t="str">
        <f aca="false">IF($D35&lt;&gt;"Evet","",IF('1 AYAR'!$C$15="Sayı",MIN(AA35*'1 AYAR'!$D$15,'1 AYAR'!$E$15),IF('1 AYAR'!$C$15="Evet/Hayır",IF(OR(AA35="Var",AA35="Yapıldı",AA35="Evet"),'1 AYAR'!$E$15,0),IF(LEN(AA35)&gt;3,'1 AYAR'!$E$15,0))))</f>
        <v/>
      </c>
      <c r="AC35" s="37" t="str">
        <f aca="false">IF($D35&lt;&gt;"Evet","",F35+H35+J35+L35+N35+P35+R35+T35+V35+X35+Z35+AB35)</f>
        <v/>
      </c>
      <c r="AD35" s="38" t="str">
        <f aca="false">IF($D35&lt;&gt;"Evet","",IF(AC35&gt;='1 AYAR'!$C$27,"A",IF(AC35&gt;='1 AYAR'!$C$28,"B",IF(AC35&gt;='1 AYAR'!$C$29,"C","D"))))</f>
        <v/>
      </c>
      <c r="AE35" s="39" t="str">
        <f aca="false">IF($D35&lt;&gt;"Evet","",AC35+ROW()/10000)</f>
        <v/>
      </c>
      <c r="AF35" s="40"/>
    </row>
    <row r="36" customFormat="false" ht="15" hidden="false" customHeight="false" outlineLevel="0" collapsed="false">
      <c r="A36" s="24" t="str">
        <f aca="false">IF($D36&lt;&gt;"Evet","",RANK(AC36,$AC$6:$AC$44,0))</f>
        <v/>
      </c>
      <c r="B36" s="44" t="s">
        <v>230</v>
      </c>
      <c r="C36" s="32" t="s">
        <v>237</v>
      </c>
      <c r="D36" s="33" t="s">
        <v>196</v>
      </c>
      <c r="E36" s="34"/>
      <c r="F36" s="35" t="str">
        <f aca="false">IF($D36&lt;&gt;"Evet","",IF('1 AYAR'!$C$4="Sayı",MIN(E36*'1 AYAR'!$D$4,'1 AYAR'!$E$4),IF('1 AYAR'!$C$4="Evet/Hayır",IF(OR(E36="Var",E36="Yapıldı",E36="Evet"),'1 AYAR'!$E$4,0),IF(LEN(E36)&gt;3,'1 AYAR'!$E$4,0))))</f>
        <v/>
      </c>
      <c r="G36" s="34"/>
      <c r="H36" s="35" t="str">
        <f aca="false">IF($D36&lt;&gt;"Evet","",IF('1 AYAR'!$C$5="Sayı",MIN(G36*'1 AYAR'!$D$5,'1 AYAR'!$E$5),IF('1 AYAR'!$C$5="Evet/Hayır",IF(OR(G36="Var",G36="Yapıldı",G36="Evet"),'1 AYAR'!$E$5,0),IF(LEN(G36)&gt;3,'1 AYAR'!$E$5,0))))</f>
        <v/>
      </c>
      <c r="I36" s="34"/>
      <c r="J36" s="35" t="str">
        <f aca="false">IF($D36&lt;&gt;"Evet","",IF('1 AYAR'!$C$6="Sayı",MIN(I36*'1 AYAR'!$D$6,'1 AYAR'!$E$6),IF('1 AYAR'!$C$6="Evet/Hayır",IF(OR(I36="Var",I36="Yapıldı",I36="Evet"),'1 AYAR'!$E$6,0),IF(LEN(I36)&gt;3,'1 AYAR'!$E$6,0))))</f>
        <v/>
      </c>
      <c r="K36" s="34"/>
      <c r="L36" s="35" t="str">
        <f aca="false">IF($D36&lt;&gt;"Evet","",IF('1 AYAR'!$C$7="Sayı",MIN(K36*'1 AYAR'!$D$7,'1 AYAR'!$E$7),IF('1 AYAR'!$C$7="Evet/Hayır",IF(OR(K36="Var",K36="Yapıldı",K36="Evet"),'1 AYAR'!$E$7,0),IF(LEN(K36)&gt;3,'1 AYAR'!$E$7,0))))</f>
        <v/>
      </c>
      <c r="M36" s="34"/>
      <c r="N36" s="35" t="str">
        <f aca="false">IF($D36&lt;&gt;"Evet","",IF('1 AYAR'!$C$8="Sayı",MIN(M36*'1 AYAR'!$D$8,'1 AYAR'!$E$8),IF('1 AYAR'!$C$8="Evet/Hayır",IF(OR(M36="Var",M36="Yapıldı",M36="Evet"),'1 AYAR'!$E$8,0),IF(LEN(M36)&gt;3,'1 AYAR'!$E$8,0))))</f>
        <v/>
      </c>
      <c r="O36" s="34"/>
      <c r="P36" s="35" t="str">
        <f aca="false">IF($D36&lt;&gt;"Evet","",IF('1 AYAR'!$C$9="Sayı",MIN(O36*'1 AYAR'!$D$9,'1 AYAR'!$E$9),IF('1 AYAR'!$C$9="Evet/Hayır",IF(OR(O36="Var",O36="Yapıldı",O36="Evet"),'1 AYAR'!$E$9,0),IF(LEN(O36)&gt;3,'1 AYAR'!$E$9,0))))</f>
        <v/>
      </c>
      <c r="Q36" s="34"/>
      <c r="R36" s="35" t="str">
        <f aca="false">IF($D36&lt;&gt;"Evet","",IF('1 AYAR'!$C$10="Sayı",MIN(Q36*'1 AYAR'!$D$10,'1 AYAR'!$E$10),IF('1 AYAR'!$C$10="Evet/Hayır",IF(OR(Q36="Var",Q36="Yapıldı",Q36="Evet"),'1 AYAR'!$E$10,0),IF(LEN(Q36)&gt;3,'1 AYAR'!$E$10,0))))</f>
        <v/>
      </c>
      <c r="S36" s="34"/>
      <c r="T36" s="35" t="str">
        <f aca="false">IF($D36&lt;&gt;"Evet","",IF('1 AYAR'!$C$11="Sayı",MIN(S36*'1 AYAR'!$D$11,'1 AYAR'!$E$11),IF('1 AYAR'!$C$11="Evet/Hayır",IF(OR(S36="Var",S36="Yapıldı",S36="Evet"),'1 AYAR'!$E$11,0),IF(LEN(S36)&gt;3,'1 AYAR'!$E$11,0))))</f>
        <v/>
      </c>
      <c r="U36" s="34"/>
      <c r="V36" s="35" t="str">
        <f aca="false">IF($D36&lt;&gt;"Evet","",IF('1 AYAR'!$C$12="Sayı",MIN(U36*'1 AYAR'!$D$12,'1 AYAR'!$E$12),IF('1 AYAR'!$C$12="Evet/Hayır",IF(OR(U36="Var",U36="Yapıldı",U36="Evet"),'1 AYAR'!$E$12,0),IF(LEN(U36)&gt;3,'1 AYAR'!$E$12,0))))</f>
        <v/>
      </c>
      <c r="W36" s="34"/>
      <c r="X36" s="35" t="str">
        <f aca="false">IF($D36&lt;&gt;"Evet","",IF('1 AYAR'!$C$13="Sayı",MIN(W36*'1 AYAR'!$D$13,'1 AYAR'!$E$13),IF('1 AYAR'!$C$13="Evet/Hayır",IF(OR(W36="Var",W36="Yapıldı",W36="Evet"),'1 AYAR'!$E$13,0),IF(LEN(W36)&gt;3,'1 AYAR'!$E$13,0))))</f>
        <v/>
      </c>
      <c r="Y36" s="34"/>
      <c r="Z36" s="35" t="str">
        <f aca="false">IF($D36&lt;&gt;"Evet","",IF('1 AYAR'!$C$14="Sayı",MIN(Y36*'1 AYAR'!$D$14,'1 AYAR'!$E$14),IF('1 AYAR'!$C$14="Evet/Hayır",IF(OR(Y36="Var",Y36="Yapıldı",Y36="Evet"),'1 AYAR'!$E$14,0),IF(LEN(Y36)&gt;3,'1 AYAR'!$E$14,0))))</f>
        <v/>
      </c>
      <c r="AA36" s="36"/>
      <c r="AB36" s="35" t="str">
        <f aca="false">IF($D36&lt;&gt;"Evet","",IF('1 AYAR'!$C$15="Sayı",MIN(AA36*'1 AYAR'!$D$15,'1 AYAR'!$E$15),IF('1 AYAR'!$C$15="Evet/Hayır",IF(OR(AA36="Var",AA36="Yapıldı",AA36="Evet"),'1 AYAR'!$E$15,0),IF(LEN(AA36)&gt;3,'1 AYAR'!$E$15,0))))</f>
        <v/>
      </c>
      <c r="AC36" s="37" t="str">
        <f aca="false">IF($D36&lt;&gt;"Evet","",F36+H36+J36+L36+N36+P36+R36+T36+V36+X36+Z36+AB36)</f>
        <v/>
      </c>
      <c r="AD36" s="38" t="str">
        <f aca="false">IF($D36&lt;&gt;"Evet","",IF(AC36&gt;='1 AYAR'!$C$27,"A",IF(AC36&gt;='1 AYAR'!$C$28,"B",IF(AC36&gt;='1 AYAR'!$C$29,"C","D"))))</f>
        <v/>
      </c>
      <c r="AE36" s="39" t="str">
        <f aca="false">IF($D36&lt;&gt;"Evet","",AC36+ROW()/10000)</f>
        <v/>
      </c>
      <c r="AF36" s="40"/>
    </row>
    <row r="37" customFormat="false" ht="23.85" hidden="false" customHeight="false" outlineLevel="0" collapsed="false">
      <c r="A37" s="24" t="n">
        <f aca="false">IF($D37&lt;&gt;"Evet","",RANK(AC37,$AC$6:$AC$44,0))</f>
        <v>4</v>
      </c>
      <c r="B37" s="45" t="s">
        <v>238</v>
      </c>
      <c r="C37" s="41" t="s">
        <v>239</v>
      </c>
      <c r="D37" s="42" t="s">
        <v>202</v>
      </c>
      <c r="E37" s="34" t="n">
        <v>9</v>
      </c>
      <c r="F37" s="35" t="n">
        <f aca="false">IF($D37&lt;&gt;"Evet","",IF('1 AYAR'!$C$4="Sayı",MIN(E37*'1 AYAR'!$D$4,'1 AYAR'!$E$4),IF('1 AYAR'!$C$4="Evet/Hayır",IF(OR(E37="Var",E37="Yapıldı",E37="Evet"),'1 AYAR'!$E$4,0),IF(LEN(E37)&gt;3,'1 AYAR'!$E$4,0))))</f>
        <v>9</v>
      </c>
      <c r="G37" s="34" t="n">
        <v>4</v>
      </c>
      <c r="H37" s="35" t="n">
        <f aca="false">IF($D37&lt;&gt;"Evet","",IF('1 AYAR'!$C$5="Sayı",MIN(G37*'1 AYAR'!$D$5,'1 AYAR'!$E$5),IF('1 AYAR'!$C$5="Evet/Hayır",IF(OR(G37="Var",G37="Yapıldı",G37="Evet"),'1 AYAR'!$E$5,0),IF(LEN(G37)&gt;3,'1 AYAR'!$E$5,0))))</f>
        <v>10</v>
      </c>
      <c r="I37" s="34" t="s">
        <v>213</v>
      </c>
      <c r="J37" s="35" t="n">
        <f aca="false">IF($D37&lt;&gt;"Evet","",IF('1 AYAR'!$C$6="Sayı",MIN(I37*'1 AYAR'!$D$6,'1 AYAR'!$E$6),IF('1 AYAR'!$C$6="Evet/Hayır",IF(OR(I37="Var",I37="Yapıldı",I37="Evet"),'1 AYAR'!$E$6,0),IF(LEN(I37)&gt;3,'1 AYAR'!$E$6,0))))</f>
        <v>5</v>
      </c>
      <c r="K37" s="34" t="n">
        <v>1</v>
      </c>
      <c r="L37" s="35" t="n">
        <f aca="false">IF($D37&lt;&gt;"Evet","",IF('1 AYAR'!$C$7="Sayı",MIN(K37*'1 AYAR'!$D$7,'1 AYAR'!$E$7),IF('1 AYAR'!$C$7="Evet/Hayır",IF(OR(K37="Var",K37="Yapıldı",K37="Evet"),'1 AYAR'!$E$7,0),IF(LEN(K37)&gt;3,'1 AYAR'!$E$7,0))))</f>
        <v>0.5</v>
      </c>
      <c r="M37" s="34" t="n">
        <v>0</v>
      </c>
      <c r="N37" s="35" t="n">
        <f aca="false">IF($D37&lt;&gt;"Evet","",IF('1 AYAR'!$C$8="Sayı",MIN(M37*'1 AYAR'!$D$8,'1 AYAR'!$E$8),IF('1 AYAR'!$C$8="Evet/Hayır",IF(OR(M37="Var",M37="Yapıldı",M37="Evet"),'1 AYAR'!$E$8,0),IF(LEN(M37)&gt;3,'1 AYAR'!$E$8,0))))</f>
        <v>0</v>
      </c>
      <c r="O37" s="34" t="s">
        <v>204</v>
      </c>
      <c r="P37" s="35" t="n">
        <f aca="false">IF($D37&lt;&gt;"Evet","",IF('1 AYAR'!$C$9="Sayı",MIN(O37*'1 AYAR'!$D$9,'1 AYAR'!$E$9),IF('1 AYAR'!$C$9="Evet/Hayır",IF(OR(O37="Var",O37="Yapıldı",O37="Evet"),'1 AYAR'!$E$9,0),IF(LEN(O37)&gt;3,'1 AYAR'!$E$9,0))))</f>
        <v>0</v>
      </c>
      <c r="Q37" s="34" t="s">
        <v>205</v>
      </c>
      <c r="R37" s="35" t="n">
        <f aca="false">IF($D37&lt;&gt;"Evet","",IF('1 AYAR'!$C$10="Sayı",MIN(Q37*'1 AYAR'!$D$10,'1 AYAR'!$E$10),IF('1 AYAR'!$C$10="Evet/Hayır",IF(OR(Q37="Var",Q37="Yapıldı",Q37="Evet"),'1 AYAR'!$E$10,0),IF(LEN(Q37)&gt;3,'1 AYAR'!$E$10,0))))</f>
        <v>10</v>
      </c>
      <c r="S37" s="34" t="n">
        <v>0</v>
      </c>
      <c r="T37" s="35" t="n">
        <f aca="false">IF($D37&lt;&gt;"Evet","",IF('1 AYAR'!$C$11="Sayı",MIN(S37*'1 AYAR'!$D$11,'1 AYAR'!$E$11),IF('1 AYAR'!$C$11="Evet/Hayır",IF(OR(S37="Var",S37="Yapıldı",S37="Evet"),'1 AYAR'!$E$11,0),IF(LEN(S37)&gt;3,'1 AYAR'!$E$11,0))))</f>
        <v>0</v>
      </c>
      <c r="U37" s="34" t="n">
        <v>0</v>
      </c>
      <c r="V37" s="35" t="n">
        <f aca="false">IF($D37&lt;&gt;"Evet","",IF('1 AYAR'!$C$12="Sayı",MIN(U37*'1 AYAR'!$D$12,'1 AYAR'!$E$12),IF('1 AYAR'!$C$12="Evet/Hayır",IF(OR(U37="Var",U37="Yapıldı",U37="Evet"),'1 AYAR'!$E$12,0),IF(LEN(U37)&gt;3,'1 AYAR'!$E$12,0))))</f>
        <v>0</v>
      </c>
      <c r="W37" s="34" t="n">
        <v>2</v>
      </c>
      <c r="X37" s="35" t="n">
        <f aca="false">IF($D37&lt;&gt;"Evet","",IF('1 AYAR'!$C$13="Sayı",MIN(W37*'1 AYAR'!$D$13,'1 AYAR'!$E$13),IF('1 AYAR'!$C$13="Evet/Hayır",IF(OR(W37="Var",W37="Yapıldı",W37="Evet"),'1 AYAR'!$E$13,0),IF(LEN(W37)&gt;3,'1 AYAR'!$E$13,0))))</f>
        <v>2</v>
      </c>
      <c r="Y37" s="34" t="n">
        <v>0</v>
      </c>
      <c r="Z37" s="35" t="n">
        <f aca="false">IF($D37&lt;&gt;"Evet","",IF('1 AYAR'!$C$14="Sayı",MIN(Y37*'1 AYAR'!$D$14,'1 AYAR'!$E$14),IF('1 AYAR'!$C$14="Evet/Hayır",IF(OR(Y37="Var",Y37="Yapıldı",Y37="Evet"),'1 AYAR'!$E$14,0),IF(LEN(Y37)&gt;3,'1 AYAR'!$E$14,0))))</f>
        <v>0</v>
      </c>
      <c r="AA37" s="36" t="s">
        <v>240</v>
      </c>
      <c r="AB37" s="35" t="n">
        <f aca="false">IF($D37&lt;&gt;"Evet","",IF('1 AYAR'!$C$15="Sayı",MIN(AA37*'1 AYAR'!$D$15,'1 AYAR'!$E$15),IF('1 AYAR'!$C$15="Evet/Hayır",IF(OR(AA37="Var",AA37="Yapıldı",AA37="Evet"),'1 AYAR'!$E$15,0),IF(LEN(AA37)&gt;3,'1 AYAR'!$E$15,0))))</f>
        <v>5</v>
      </c>
      <c r="AC37" s="37" t="n">
        <f aca="false">IF($D37&lt;&gt;"Evet","",F37+H37+J37+L37+N37+P37+R37+T37+V37+X37+Z37+AB37)</f>
        <v>41.5</v>
      </c>
      <c r="AD37" s="38" t="str">
        <f aca="false">IF($D37&lt;&gt;"Evet","",IF(AC37&gt;='1 AYAR'!$C$27,"A",IF(AC37&gt;='1 AYAR'!$C$28,"B",IF(AC37&gt;='1 AYAR'!$C$29,"C","D"))))</f>
        <v>C</v>
      </c>
      <c r="AE37" s="39" t="n">
        <f aca="false">IF($D37&lt;&gt;"Evet","",AC37+ROW()/10000)</f>
        <v>41.5037</v>
      </c>
      <c r="AF37" s="40"/>
    </row>
    <row r="38" customFormat="false" ht="15" hidden="false" customHeight="false" outlineLevel="0" collapsed="false">
      <c r="A38" s="24" t="n">
        <f aca="false">IF($D38&lt;&gt;"Evet","",RANK(AC38,$AC$6:$AC$44,0))</f>
        <v>3</v>
      </c>
      <c r="B38" s="45" t="s">
        <v>238</v>
      </c>
      <c r="C38" s="41" t="s">
        <v>241</v>
      </c>
      <c r="D38" s="42" t="s">
        <v>202</v>
      </c>
      <c r="E38" s="34" t="n">
        <v>11</v>
      </c>
      <c r="F38" s="35" t="n">
        <f aca="false">IF($D38&lt;&gt;"Evet","",IF('1 AYAR'!$C$4="Sayı",MIN(E38*'1 AYAR'!$D$4,'1 AYAR'!$E$4),IF('1 AYAR'!$C$4="Evet/Hayır",IF(OR(E38="Var",E38="Yapıldı",E38="Evet"),'1 AYAR'!$E$4,0),IF(LEN(E38)&gt;3,'1 AYAR'!$E$4,0))))</f>
        <v>11</v>
      </c>
      <c r="G38" s="34" t="n">
        <v>4</v>
      </c>
      <c r="H38" s="35" t="n">
        <f aca="false">IF($D38&lt;&gt;"Evet","",IF('1 AYAR'!$C$5="Sayı",MIN(G38*'1 AYAR'!$D$5,'1 AYAR'!$E$5),IF('1 AYAR'!$C$5="Evet/Hayır",IF(OR(G38="Var",G38="Yapıldı",G38="Evet"),'1 AYAR'!$E$5,0),IF(LEN(G38)&gt;3,'1 AYAR'!$E$5,0))))</f>
        <v>10</v>
      </c>
      <c r="I38" s="34" t="s">
        <v>213</v>
      </c>
      <c r="J38" s="35" t="n">
        <f aca="false">IF($D38&lt;&gt;"Evet","",IF('1 AYAR'!$C$6="Sayı",MIN(I38*'1 AYAR'!$D$6,'1 AYAR'!$E$6),IF('1 AYAR'!$C$6="Evet/Hayır",IF(OR(I38="Var",I38="Yapıldı",I38="Evet"),'1 AYAR'!$E$6,0),IF(LEN(I38)&gt;3,'1 AYAR'!$E$6,0))))</f>
        <v>5</v>
      </c>
      <c r="K38" s="34" t="n">
        <v>1</v>
      </c>
      <c r="L38" s="35" t="n">
        <f aca="false">IF($D38&lt;&gt;"Evet","",IF('1 AYAR'!$C$7="Sayı",MIN(K38*'1 AYAR'!$D$7,'1 AYAR'!$E$7),IF('1 AYAR'!$C$7="Evet/Hayır",IF(OR(K38="Var",K38="Yapıldı",K38="Evet"),'1 AYAR'!$E$7,0),IF(LEN(K38)&gt;3,'1 AYAR'!$E$7,0))))</f>
        <v>0.5</v>
      </c>
      <c r="M38" s="34" t="n">
        <v>1</v>
      </c>
      <c r="N38" s="35" t="n">
        <f aca="false">IF($D38&lt;&gt;"Evet","",IF('1 AYAR'!$C$8="Sayı",MIN(M38*'1 AYAR'!$D$8,'1 AYAR'!$E$8),IF('1 AYAR'!$C$8="Evet/Hayır",IF(OR(M38="Var",M38="Yapıldı",M38="Evet"),'1 AYAR'!$E$8,0),IF(LEN(M38)&gt;3,'1 AYAR'!$E$8,0))))</f>
        <v>1</v>
      </c>
      <c r="O38" s="34" t="s">
        <v>204</v>
      </c>
      <c r="P38" s="35" t="n">
        <f aca="false">IF($D38&lt;&gt;"Evet","",IF('1 AYAR'!$C$9="Sayı",MIN(O38*'1 AYAR'!$D$9,'1 AYAR'!$E$9),IF('1 AYAR'!$C$9="Evet/Hayır",IF(OR(O38="Var",O38="Yapıldı",O38="Evet"),'1 AYAR'!$E$9,0),IF(LEN(O38)&gt;3,'1 AYAR'!$E$9,0))))</f>
        <v>0</v>
      </c>
      <c r="Q38" s="34" t="s">
        <v>205</v>
      </c>
      <c r="R38" s="35" t="n">
        <f aca="false">IF($D38&lt;&gt;"Evet","",IF('1 AYAR'!$C$10="Sayı",MIN(Q38*'1 AYAR'!$D$10,'1 AYAR'!$E$10),IF('1 AYAR'!$C$10="Evet/Hayır",IF(OR(Q38="Var",Q38="Yapıldı",Q38="Evet"),'1 AYAR'!$E$10,0),IF(LEN(Q38)&gt;3,'1 AYAR'!$E$10,0))))</f>
        <v>10</v>
      </c>
      <c r="S38" s="34" t="n">
        <v>1</v>
      </c>
      <c r="T38" s="35" t="n">
        <f aca="false">IF($D38&lt;&gt;"Evet","",IF('1 AYAR'!$C$11="Sayı",MIN(S38*'1 AYAR'!$D$11,'1 AYAR'!$E$11),IF('1 AYAR'!$C$11="Evet/Hayır",IF(OR(S38="Var",S38="Yapıldı",S38="Evet"),'1 AYAR'!$E$11,0),IF(LEN(S38)&gt;3,'1 AYAR'!$E$11,0))))</f>
        <v>1</v>
      </c>
      <c r="U38" s="34" t="n">
        <v>2</v>
      </c>
      <c r="V38" s="35" t="n">
        <f aca="false">IF($D38&lt;&gt;"Evet","",IF('1 AYAR'!$C$12="Sayı",MIN(U38*'1 AYAR'!$D$12,'1 AYAR'!$E$12),IF('1 AYAR'!$C$12="Evet/Hayır",IF(OR(U38="Var",U38="Yapıldı",U38="Evet"),'1 AYAR'!$E$12,0),IF(LEN(U38)&gt;3,'1 AYAR'!$E$12,0))))</f>
        <v>2</v>
      </c>
      <c r="W38" s="34" t="n">
        <v>0</v>
      </c>
      <c r="X38" s="35" t="n">
        <f aca="false">IF($D38&lt;&gt;"Evet","",IF('1 AYAR'!$C$13="Sayı",MIN(W38*'1 AYAR'!$D$13,'1 AYAR'!$E$13),IF('1 AYAR'!$C$13="Evet/Hayır",IF(OR(W38="Var",W38="Yapıldı",W38="Evet"),'1 AYAR'!$E$13,0),IF(LEN(W38)&gt;3,'1 AYAR'!$E$13,0))))</f>
        <v>0</v>
      </c>
      <c r="Y38" s="34" t="n">
        <v>1</v>
      </c>
      <c r="Z38" s="35" t="n">
        <f aca="false">IF($D38&lt;&gt;"Evet","",IF('1 AYAR'!$C$14="Sayı",MIN(Y38*'1 AYAR'!$D$14,'1 AYAR'!$E$14),IF('1 AYAR'!$C$14="Evet/Hayır",IF(OR(Y38="Var",Y38="Yapıldı",Y38="Evet"),'1 AYAR'!$E$14,0),IF(LEN(Y38)&gt;3,'1 AYAR'!$E$14,0))))</f>
        <v>1</v>
      </c>
      <c r="AA38" s="36" t="s">
        <v>242</v>
      </c>
      <c r="AB38" s="35" t="n">
        <f aca="false">IF($D38&lt;&gt;"Evet","",IF('1 AYAR'!$C$15="Sayı",MIN(AA38*'1 AYAR'!$D$15,'1 AYAR'!$E$15),IF('1 AYAR'!$C$15="Evet/Hayır",IF(OR(AA38="Var",AA38="Yapıldı",AA38="Evet"),'1 AYAR'!$E$15,0),IF(LEN(AA38)&gt;3,'1 AYAR'!$E$15,0))))</f>
        <v>5</v>
      </c>
      <c r="AC38" s="37" t="n">
        <f aca="false">IF($D38&lt;&gt;"Evet","",F38+H38+J38+L38+N38+P38+R38+T38+V38+X38+Z38+AB38)</f>
        <v>46.5</v>
      </c>
      <c r="AD38" s="38" t="str">
        <f aca="false">IF($D38&lt;&gt;"Evet","",IF(AC38&gt;='1 AYAR'!$C$27,"A",IF(AC38&gt;='1 AYAR'!$C$28,"B",IF(AC38&gt;='1 AYAR'!$C$29,"C","D"))))</f>
        <v>C</v>
      </c>
      <c r="AE38" s="39" t="n">
        <f aca="false">IF($D38&lt;&gt;"Evet","",AC38+ROW()/10000)</f>
        <v>46.5038</v>
      </c>
      <c r="AF38" s="40"/>
    </row>
    <row r="39" customFormat="false" ht="15" hidden="false" customHeight="false" outlineLevel="0" collapsed="false">
      <c r="A39" s="24" t="n">
        <f aca="false">IF($D39&lt;&gt;"Evet","",RANK(AC39,$AC$6:$AC$44,0))</f>
        <v>9</v>
      </c>
      <c r="B39" s="45" t="s">
        <v>238</v>
      </c>
      <c r="C39" s="41" t="s">
        <v>243</v>
      </c>
      <c r="D39" s="42" t="s">
        <v>202</v>
      </c>
      <c r="E39" s="34" t="n">
        <v>11</v>
      </c>
      <c r="F39" s="35" t="n">
        <f aca="false">IF($D39&lt;&gt;"Evet","",IF('1 AYAR'!$C$4="Sayı",MIN(E39*'1 AYAR'!$D$4,'1 AYAR'!$E$4),IF('1 AYAR'!$C$4="Evet/Hayır",IF(OR(E39="Var",E39="Yapıldı",E39="Evet"),'1 AYAR'!$E$4,0),IF(LEN(E39)&gt;3,'1 AYAR'!$E$4,0))))</f>
        <v>11</v>
      </c>
      <c r="G39" s="34" t="n">
        <v>3</v>
      </c>
      <c r="H39" s="35" t="n">
        <f aca="false">IF($D39&lt;&gt;"Evet","",IF('1 AYAR'!$C$5="Sayı",MIN(G39*'1 AYAR'!$D$5,'1 AYAR'!$E$5),IF('1 AYAR'!$C$5="Evet/Hayır",IF(OR(G39="Var",G39="Yapıldı",G39="Evet"),'1 AYAR'!$E$5,0),IF(LEN(G39)&gt;3,'1 AYAR'!$E$5,0))))</f>
        <v>7.5</v>
      </c>
      <c r="I39" s="34" t="s">
        <v>213</v>
      </c>
      <c r="J39" s="35" t="n">
        <f aca="false">IF($D39&lt;&gt;"Evet","",IF('1 AYAR'!$C$6="Sayı",MIN(I39*'1 AYAR'!$D$6,'1 AYAR'!$E$6),IF('1 AYAR'!$C$6="Evet/Hayır",IF(OR(I39="Var",I39="Yapıldı",I39="Evet"),'1 AYAR'!$E$6,0),IF(LEN(I39)&gt;3,'1 AYAR'!$E$6,0))))</f>
        <v>5</v>
      </c>
      <c r="K39" s="34" t="n">
        <v>11</v>
      </c>
      <c r="L39" s="35" t="n">
        <f aca="false">IF($D39&lt;&gt;"Evet","",IF('1 AYAR'!$C$7="Sayı",MIN(K39*'1 AYAR'!$D$7,'1 AYAR'!$E$7),IF('1 AYAR'!$C$7="Evet/Hayır",IF(OR(K39="Var",K39="Yapıldı",K39="Evet"),'1 AYAR'!$E$7,0),IF(LEN(K39)&gt;3,'1 AYAR'!$E$7,0))))</f>
        <v>5.5</v>
      </c>
      <c r="M39" s="34" t="n">
        <v>0</v>
      </c>
      <c r="N39" s="35" t="n">
        <f aca="false">IF($D39&lt;&gt;"Evet","",IF('1 AYAR'!$C$8="Sayı",MIN(M39*'1 AYAR'!$D$8,'1 AYAR'!$E$8),IF('1 AYAR'!$C$8="Evet/Hayır",IF(OR(M39="Var",M39="Yapıldı",M39="Evet"),'1 AYAR'!$E$8,0),IF(LEN(M39)&gt;3,'1 AYAR'!$E$8,0))))</f>
        <v>0</v>
      </c>
      <c r="O39" s="34" t="s">
        <v>204</v>
      </c>
      <c r="P39" s="35" t="n">
        <f aca="false">IF($D39&lt;&gt;"Evet","",IF('1 AYAR'!$C$9="Sayı",MIN(O39*'1 AYAR'!$D$9,'1 AYAR'!$E$9),IF('1 AYAR'!$C$9="Evet/Hayır",IF(OR(O39="Var",O39="Yapıldı",O39="Evet"),'1 AYAR'!$E$9,0),IF(LEN(O39)&gt;3,'1 AYAR'!$E$9,0))))</f>
        <v>0</v>
      </c>
      <c r="Q39" s="34" t="s">
        <v>204</v>
      </c>
      <c r="R39" s="35" t="n">
        <f aca="false">IF($D39&lt;&gt;"Evet","",IF('1 AYAR'!$C$10="Sayı",MIN(Q39*'1 AYAR'!$D$10,'1 AYAR'!$E$10),IF('1 AYAR'!$C$10="Evet/Hayır",IF(OR(Q39="Var",Q39="Yapıldı",Q39="Evet"),'1 AYAR'!$E$10,0),IF(LEN(Q39)&gt;3,'1 AYAR'!$E$10,0))))</f>
        <v>0</v>
      </c>
      <c r="S39" s="34" t="n">
        <v>1</v>
      </c>
      <c r="T39" s="35" t="n">
        <f aca="false">IF($D39&lt;&gt;"Evet","",IF('1 AYAR'!$C$11="Sayı",MIN(S39*'1 AYAR'!$D$11,'1 AYAR'!$E$11),IF('1 AYAR'!$C$11="Evet/Hayır",IF(OR(S39="Var",S39="Yapıldı",S39="Evet"),'1 AYAR'!$E$11,0),IF(LEN(S39)&gt;3,'1 AYAR'!$E$11,0))))</f>
        <v>1</v>
      </c>
      <c r="U39" s="34" t="n">
        <v>0</v>
      </c>
      <c r="V39" s="35" t="n">
        <f aca="false">IF($D39&lt;&gt;"Evet","",IF('1 AYAR'!$C$12="Sayı",MIN(U39*'1 AYAR'!$D$12,'1 AYAR'!$E$12),IF('1 AYAR'!$C$12="Evet/Hayır",IF(OR(U39="Var",U39="Yapıldı",U39="Evet"),'1 AYAR'!$E$12,0),IF(LEN(U39)&gt;3,'1 AYAR'!$E$12,0))))</f>
        <v>0</v>
      </c>
      <c r="W39" s="34" t="n">
        <v>0</v>
      </c>
      <c r="X39" s="35" t="n">
        <f aca="false">IF($D39&lt;&gt;"Evet","",IF('1 AYAR'!$C$13="Sayı",MIN(W39*'1 AYAR'!$D$13,'1 AYAR'!$E$13),IF('1 AYAR'!$C$13="Evet/Hayır",IF(OR(W39="Var",W39="Yapıldı",W39="Evet"),'1 AYAR'!$E$13,0),IF(LEN(W39)&gt;3,'1 AYAR'!$E$13,0))))</f>
        <v>0</v>
      </c>
      <c r="Y39" s="34" t="n">
        <v>0</v>
      </c>
      <c r="Z39" s="35" t="n">
        <f aca="false">IF($D39&lt;&gt;"Evet","",IF('1 AYAR'!$C$14="Sayı",MIN(Y39*'1 AYAR'!$D$14,'1 AYAR'!$E$14),IF('1 AYAR'!$C$14="Evet/Hayır",IF(OR(Y39="Var",Y39="Yapıldı",Y39="Evet"),'1 AYAR'!$E$14,0),IF(LEN(Y39)&gt;3,'1 AYAR'!$E$14,0))))</f>
        <v>0</v>
      </c>
      <c r="AA39" s="36"/>
      <c r="AB39" s="35" t="n">
        <f aca="false">IF($D39&lt;&gt;"Evet","",IF('1 AYAR'!$C$15="Sayı",MIN(AA39*'1 AYAR'!$D$15,'1 AYAR'!$E$15),IF('1 AYAR'!$C$15="Evet/Hayır",IF(OR(AA39="Var",AA39="Yapıldı",AA39="Evet"),'1 AYAR'!$E$15,0),IF(LEN(AA39)&gt;3,'1 AYAR'!$E$15,0))))</f>
        <v>0</v>
      </c>
      <c r="AC39" s="37" t="n">
        <f aca="false">IF($D39&lt;&gt;"Evet","",F39+H39+J39+L39+N39+P39+R39+T39+V39+X39+Z39+AB39)</f>
        <v>30</v>
      </c>
      <c r="AD39" s="38" t="str">
        <f aca="false">IF($D39&lt;&gt;"Evet","",IF(AC39&gt;='1 AYAR'!$C$27,"A",IF(AC39&gt;='1 AYAR'!$C$28,"B",IF(AC39&gt;='1 AYAR'!$C$29,"C","D"))))</f>
        <v>D</v>
      </c>
      <c r="AE39" s="39" t="n">
        <f aca="false">IF($D39&lt;&gt;"Evet","",AC39+ROW()/10000)</f>
        <v>30.0039</v>
      </c>
      <c r="AF39" s="40"/>
    </row>
    <row r="40" customFormat="false" ht="15" hidden="false" customHeight="false" outlineLevel="0" collapsed="false">
      <c r="A40" s="24" t="str">
        <f aca="false">IF($D40&lt;&gt;"Evet","",RANK(AC40,$AC$6:$AC$44,0))</f>
        <v/>
      </c>
      <c r="B40" s="45" t="s">
        <v>238</v>
      </c>
      <c r="C40" s="32" t="s">
        <v>244</v>
      </c>
      <c r="D40" s="33" t="s">
        <v>196</v>
      </c>
      <c r="E40" s="34"/>
      <c r="F40" s="35" t="str">
        <f aca="false">IF($D40&lt;&gt;"Evet","",IF('1 AYAR'!$C$4="Sayı",MIN(E40*'1 AYAR'!$D$4,'1 AYAR'!$E$4),IF('1 AYAR'!$C$4="Evet/Hayır",IF(OR(E40="Var",E40="Yapıldı",E40="Evet"),'1 AYAR'!$E$4,0),IF(LEN(E40)&gt;3,'1 AYAR'!$E$4,0))))</f>
        <v/>
      </c>
      <c r="G40" s="34"/>
      <c r="H40" s="35" t="str">
        <f aca="false">IF($D40&lt;&gt;"Evet","",IF('1 AYAR'!$C$5="Sayı",MIN(G40*'1 AYAR'!$D$5,'1 AYAR'!$E$5),IF('1 AYAR'!$C$5="Evet/Hayır",IF(OR(G40="Var",G40="Yapıldı",G40="Evet"),'1 AYAR'!$E$5,0),IF(LEN(G40)&gt;3,'1 AYAR'!$E$5,0))))</f>
        <v/>
      </c>
      <c r="I40" s="34"/>
      <c r="J40" s="35" t="str">
        <f aca="false">IF($D40&lt;&gt;"Evet","",IF('1 AYAR'!$C$6="Sayı",MIN(I40*'1 AYAR'!$D$6,'1 AYAR'!$E$6),IF('1 AYAR'!$C$6="Evet/Hayır",IF(OR(I40="Var",I40="Yapıldı",I40="Evet"),'1 AYAR'!$E$6,0),IF(LEN(I40)&gt;3,'1 AYAR'!$E$6,0))))</f>
        <v/>
      </c>
      <c r="K40" s="34"/>
      <c r="L40" s="35" t="str">
        <f aca="false">IF($D40&lt;&gt;"Evet","",IF('1 AYAR'!$C$7="Sayı",MIN(K40*'1 AYAR'!$D$7,'1 AYAR'!$E$7),IF('1 AYAR'!$C$7="Evet/Hayır",IF(OR(K40="Var",K40="Yapıldı",K40="Evet"),'1 AYAR'!$E$7,0),IF(LEN(K40)&gt;3,'1 AYAR'!$E$7,0))))</f>
        <v/>
      </c>
      <c r="M40" s="34"/>
      <c r="N40" s="35" t="str">
        <f aca="false">IF($D40&lt;&gt;"Evet","",IF('1 AYAR'!$C$8="Sayı",MIN(M40*'1 AYAR'!$D$8,'1 AYAR'!$E$8),IF('1 AYAR'!$C$8="Evet/Hayır",IF(OR(M40="Var",M40="Yapıldı",M40="Evet"),'1 AYAR'!$E$8,0),IF(LEN(M40)&gt;3,'1 AYAR'!$E$8,0))))</f>
        <v/>
      </c>
      <c r="O40" s="34"/>
      <c r="P40" s="35" t="str">
        <f aca="false">IF($D40&lt;&gt;"Evet","",IF('1 AYAR'!$C$9="Sayı",MIN(O40*'1 AYAR'!$D$9,'1 AYAR'!$E$9),IF('1 AYAR'!$C$9="Evet/Hayır",IF(OR(O40="Var",O40="Yapıldı",O40="Evet"),'1 AYAR'!$E$9,0),IF(LEN(O40)&gt;3,'1 AYAR'!$E$9,0))))</f>
        <v/>
      </c>
      <c r="Q40" s="34"/>
      <c r="R40" s="35" t="str">
        <f aca="false">IF($D40&lt;&gt;"Evet","",IF('1 AYAR'!$C$10="Sayı",MIN(Q40*'1 AYAR'!$D$10,'1 AYAR'!$E$10),IF('1 AYAR'!$C$10="Evet/Hayır",IF(OR(Q40="Var",Q40="Yapıldı",Q40="Evet"),'1 AYAR'!$E$10,0),IF(LEN(Q40)&gt;3,'1 AYAR'!$E$10,0))))</f>
        <v/>
      </c>
      <c r="S40" s="34"/>
      <c r="T40" s="35" t="str">
        <f aca="false">IF($D40&lt;&gt;"Evet","",IF('1 AYAR'!$C$11="Sayı",MIN(S40*'1 AYAR'!$D$11,'1 AYAR'!$E$11),IF('1 AYAR'!$C$11="Evet/Hayır",IF(OR(S40="Var",S40="Yapıldı",S40="Evet"),'1 AYAR'!$E$11,0),IF(LEN(S40)&gt;3,'1 AYAR'!$E$11,0))))</f>
        <v/>
      </c>
      <c r="U40" s="34"/>
      <c r="V40" s="35" t="str">
        <f aca="false">IF($D40&lt;&gt;"Evet","",IF('1 AYAR'!$C$12="Sayı",MIN(U40*'1 AYAR'!$D$12,'1 AYAR'!$E$12),IF('1 AYAR'!$C$12="Evet/Hayır",IF(OR(U40="Var",U40="Yapıldı",U40="Evet"),'1 AYAR'!$E$12,0),IF(LEN(U40)&gt;3,'1 AYAR'!$E$12,0))))</f>
        <v/>
      </c>
      <c r="W40" s="34"/>
      <c r="X40" s="35" t="str">
        <f aca="false">IF($D40&lt;&gt;"Evet","",IF('1 AYAR'!$C$13="Sayı",MIN(W40*'1 AYAR'!$D$13,'1 AYAR'!$E$13),IF('1 AYAR'!$C$13="Evet/Hayır",IF(OR(W40="Var",W40="Yapıldı",W40="Evet"),'1 AYAR'!$E$13,0),IF(LEN(W40)&gt;3,'1 AYAR'!$E$13,0))))</f>
        <v/>
      </c>
      <c r="Y40" s="34"/>
      <c r="Z40" s="35" t="str">
        <f aca="false">IF($D40&lt;&gt;"Evet","",IF('1 AYAR'!$C$14="Sayı",MIN(Y40*'1 AYAR'!$D$14,'1 AYAR'!$E$14),IF('1 AYAR'!$C$14="Evet/Hayır",IF(OR(Y40="Var",Y40="Yapıldı",Y40="Evet"),'1 AYAR'!$E$14,0),IF(LEN(Y40)&gt;3,'1 AYAR'!$E$14,0))))</f>
        <v/>
      </c>
      <c r="AA40" s="36"/>
      <c r="AB40" s="35" t="str">
        <f aca="false">IF($D40&lt;&gt;"Evet","",IF('1 AYAR'!$C$15="Sayı",MIN(AA40*'1 AYAR'!$D$15,'1 AYAR'!$E$15),IF('1 AYAR'!$C$15="Evet/Hayır",IF(OR(AA40="Var",AA40="Yapıldı",AA40="Evet"),'1 AYAR'!$E$15,0),IF(LEN(AA40)&gt;3,'1 AYAR'!$E$15,0))))</f>
        <v/>
      </c>
      <c r="AC40" s="37" t="str">
        <f aca="false">IF($D40&lt;&gt;"Evet","",F40+H40+J40+L40+N40+P40+R40+T40+V40+X40+Z40+AB40)</f>
        <v/>
      </c>
      <c r="AD40" s="38" t="str">
        <f aca="false">IF($D40&lt;&gt;"Evet","",IF(AC40&gt;='1 AYAR'!$C$27,"A",IF(AC40&gt;='1 AYAR'!$C$28,"B",IF(AC40&gt;='1 AYAR'!$C$29,"C","D"))))</f>
        <v/>
      </c>
      <c r="AE40" s="39" t="str">
        <f aca="false">IF($D40&lt;&gt;"Evet","",AC40+ROW()/10000)</f>
        <v/>
      </c>
      <c r="AF40" s="40"/>
    </row>
    <row r="41" customFormat="false" ht="15" hidden="false" customHeight="false" outlineLevel="0" collapsed="false">
      <c r="A41" s="24" t="str">
        <f aca="false">IF($D41&lt;&gt;"Evet","",RANK(AC41,$AC$6:$AC$44,0))</f>
        <v/>
      </c>
      <c r="B41" s="45" t="s">
        <v>238</v>
      </c>
      <c r="C41" s="32" t="s">
        <v>245</v>
      </c>
      <c r="D41" s="33" t="s">
        <v>196</v>
      </c>
      <c r="E41" s="34"/>
      <c r="F41" s="35" t="str">
        <f aca="false">IF($D41&lt;&gt;"Evet","",IF('1 AYAR'!$C$4="Sayı",MIN(E41*'1 AYAR'!$D$4,'1 AYAR'!$E$4),IF('1 AYAR'!$C$4="Evet/Hayır",IF(OR(E41="Var",E41="Yapıldı",E41="Evet"),'1 AYAR'!$E$4,0),IF(LEN(E41)&gt;3,'1 AYAR'!$E$4,0))))</f>
        <v/>
      </c>
      <c r="G41" s="34"/>
      <c r="H41" s="35" t="str">
        <f aca="false">IF($D41&lt;&gt;"Evet","",IF('1 AYAR'!$C$5="Sayı",MIN(G41*'1 AYAR'!$D$5,'1 AYAR'!$E$5),IF('1 AYAR'!$C$5="Evet/Hayır",IF(OR(G41="Var",G41="Yapıldı",G41="Evet"),'1 AYAR'!$E$5,0),IF(LEN(G41)&gt;3,'1 AYAR'!$E$5,0))))</f>
        <v/>
      </c>
      <c r="I41" s="34"/>
      <c r="J41" s="35" t="str">
        <f aca="false">IF($D41&lt;&gt;"Evet","",IF('1 AYAR'!$C$6="Sayı",MIN(I41*'1 AYAR'!$D$6,'1 AYAR'!$E$6),IF('1 AYAR'!$C$6="Evet/Hayır",IF(OR(I41="Var",I41="Yapıldı",I41="Evet"),'1 AYAR'!$E$6,0),IF(LEN(I41)&gt;3,'1 AYAR'!$E$6,0))))</f>
        <v/>
      </c>
      <c r="K41" s="34"/>
      <c r="L41" s="35" t="str">
        <f aca="false">IF($D41&lt;&gt;"Evet","",IF('1 AYAR'!$C$7="Sayı",MIN(K41*'1 AYAR'!$D$7,'1 AYAR'!$E$7),IF('1 AYAR'!$C$7="Evet/Hayır",IF(OR(K41="Var",K41="Yapıldı",K41="Evet"),'1 AYAR'!$E$7,0),IF(LEN(K41)&gt;3,'1 AYAR'!$E$7,0))))</f>
        <v/>
      </c>
      <c r="M41" s="34"/>
      <c r="N41" s="35" t="str">
        <f aca="false">IF($D41&lt;&gt;"Evet","",IF('1 AYAR'!$C$8="Sayı",MIN(M41*'1 AYAR'!$D$8,'1 AYAR'!$E$8),IF('1 AYAR'!$C$8="Evet/Hayır",IF(OR(M41="Var",M41="Yapıldı",M41="Evet"),'1 AYAR'!$E$8,0),IF(LEN(M41)&gt;3,'1 AYAR'!$E$8,0))))</f>
        <v/>
      </c>
      <c r="O41" s="34"/>
      <c r="P41" s="35" t="str">
        <f aca="false">IF($D41&lt;&gt;"Evet","",IF('1 AYAR'!$C$9="Sayı",MIN(O41*'1 AYAR'!$D$9,'1 AYAR'!$E$9),IF('1 AYAR'!$C$9="Evet/Hayır",IF(OR(O41="Var",O41="Yapıldı",O41="Evet"),'1 AYAR'!$E$9,0),IF(LEN(O41)&gt;3,'1 AYAR'!$E$9,0))))</f>
        <v/>
      </c>
      <c r="Q41" s="34"/>
      <c r="R41" s="35" t="str">
        <f aca="false">IF($D41&lt;&gt;"Evet","",IF('1 AYAR'!$C$10="Sayı",MIN(Q41*'1 AYAR'!$D$10,'1 AYAR'!$E$10),IF('1 AYAR'!$C$10="Evet/Hayır",IF(OR(Q41="Var",Q41="Yapıldı",Q41="Evet"),'1 AYAR'!$E$10,0),IF(LEN(Q41)&gt;3,'1 AYAR'!$E$10,0))))</f>
        <v/>
      </c>
      <c r="S41" s="34"/>
      <c r="T41" s="35" t="str">
        <f aca="false">IF($D41&lt;&gt;"Evet","",IF('1 AYAR'!$C$11="Sayı",MIN(S41*'1 AYAR'!$D$11,'1 AYAR'!$E$11),IF('1 AYAR'!$C$11="Evet/Hayır",IF(OR(S41="Var",S41="Yapıldı",S41="Evet"),'1 AYAR'!$E$11,0),IF(LEN(S41)&gt;3,'1 AYAR'!$E$11,0))))</f>
        <v/>
      </c>
      <c r="U41" s="34"/>
      <c r="V41" s="35" t="str">
        <f aca="false">IF($D41&lt;&gt;"Evet","",IF('1 AYAR'!$C$12="Sayı",MIN(U41*'1 AYAR'!$D$12,'1 AYAR'!$E$12),IF('1 AYAR'!$C$12="Evet/Hayır",IF(OR(U41="Var",U41="Yapıldı",U41="Evet"),'1 AYAR'!$E$12,0),IF(LEN(U41)&gt;3,'1 AYAR'!$E$12,0))))</f>
        <v/>
      </c>
      <c r="W41" s="34"/>
      <c r="X41" s="35" t="str">
        <f aca="false">IF($D41&lt;&gt;"Evet","",IF('1 AYAR'!$C$13="Sayı",MIN(W41*'1 AYAR'!$D$13,'1 AYAR'!$E$13),IF('1 AYAR'!$C$13="Evet/Hayır",IF(OR(W41="Var",W41="Yapıldı",W41="Evet"),'1 AYAR'!$E$13,0),IF(LEN(W41)&gt;3,'1 AYAR'!$E$13,0))))</f>
        <v/>
      </c>
      <c r="Y41" s="34"/>
      <c r="Z41" s="35" t="str">
        <f aca="false">IF($D41&lt;&gt;"Evet","",IF('1 AYAR'!$C$14="Sayı",MIN(Y41*'1 AYAR'!$D$14,'1 AYAR'!$E$14),IF('1 AYAR'!$C$14="Evet/Hayır",IF(OR(Y41="Var",Y41="Yapıldı",Y41="Evet"),'1 AYAR'!$E$14,0),IF(LEN(Y41)&gt;3,'1 AYAR'!$E$14,0))))</f>
        <v/>
      </c>
      <c r="AA41" s="36"/>
      <c r="AB41" s="35" t="str">
        <f aca="false">IF($D41&lt;&gt;"Evet","",IF('1 AYAR'!$C$15="Sayı",MIN(AA41*'1 AYAR'!$D$15,'1 AYAR'!$E$15),IF('1 AYAR'!$C$15="Evet/Hayır",IF(OR(AA41="Var",AA41="Yapıldı",AA41="Evet"),'1 AYAR'!$E$15,0),IF(LEN(AA41)&gt;3,'1 AYAR'!$E$15,0))))</f>
        <v/>
      </c>
      <c r="AC41" s="37" t="str">
        <f aca="false">IF($D41&lt;&gt;"Evet","",F41+H41+J41+L41+N41+P41+R41+T41+V41+X41+Z41+AB41)</f>
        <v/>
      </c>
      <c r="AD41" s="38" t="str">
        <f aca="false">IF($D41&lt;&gt;"Evet","",IF(AC41&gt;='1 AYAR'!$C$27,"A",IF(AC41&gt;='1 AYAR'!$C$28,"B",IF(AC41&gt;='1 AYAR'!$C$29,"C","D"))))</f>
        <v/>
      </c>
      <c r="AE41" s="39" t="str">
        <f aca="false">IF($D41&lt;&gt;"Evet","",AC41+ROW()/10000)</f>
        <v/>
      </c>
      <c r="AF41" s="40"/>
    </row>
    <row r="42" customFormat="false" ht="15" hidden="false" customHeight="false" outlineLevel="0" collapsed="false">
      <c r="A42" s="24" t="str">
        <f aca="false">IF($D42&lt;&gt;"Evet","",RANK(AC42,$AC$6:$AC$44,0))</f>
        <v/>
      </c>
      <c r="B42" s="45" t="s">
        <v>238</v>
      </c>
      <c r="C42" s="32" t="s">
        <v>246</v>
      </c>
      <c r="D42" s="33" t="s">
        <v>196</v>
      </c>
      <c r="E42" s="34"/>
      <c r="F42" s="35" t="str">
        <f aca="false">IF($D42&lt;&gt;"Evet","",IF('1 AYAR'!$C$4="Sayı",MIN(E42*'1 AYAR'!$D$4,'1 AYAR'!$E$4),IF('1 AYAR'!$C$4="Evet/Hayır",IF(OR(E42="Var",E42="Yapıldı",E42="Evet"),'1 AYAR'!$E$4,0),IF(LEN(E42)&gt;3,'1 AYAR'!$E$4,0))))</f>
        <v/>
      </c>
      <c r="G42" s="34"/>
      <c r="H42" s="35" t="str">
        <f aca="false">IF($D42&lt;&gt;"Evet","",IF('1 AYAR'!$C$5="Sayı",MIN(G42*'1 AYAR'!$D$5,'1 AYAR'!$E$5),IF('1 AYAR'!$C$5="Evet/Hayır",IF(OR(G42="Var",G42="Yapıldı",G42="Evet"),'1 AYAR'!$E$5,0),IF(LEN(G42)&gt;3,'1 AYAR'!$E$5,0))))</f>
        <v/>
      </c>
      <c r="I42" s="34"/>
      <c r="J42" s="35" t="str">
        <f aca="false">IF($D42&lt;&gt;"Evet","",IF('1 AYAR'!$C$6="Sayı",MIN(I42*'1 AYAR'!$D$6,'1 AYAR'!$E$6),IF('1 AYAR'!$C$6="Evet/Hayır",IF(OR(I42="Var",I42="Yapıldı",I42="Evet"),'1 AYAR'!$E$6,0),IF(LEN(I42)&gt;3,'1 AYAR'!$E$6,0))))</f>
        <v/>
      </c>
      <c r="K42" s="34"/>
      <c r="L42" s="35" t="str">
        <f aca="false">IF($D42&lt;&gt;"Evet","",IF('1 AYAR'!$C$7="Sayı",MIN(K42*'1 AYAR'!$D$7,'1 AYAR'!$E$7),IF('1 AYAR'!$C$7="Evet/Hayır",IF(OR(K42="Var",K42="Yapıldı",K42="Evet"),'1 AYAR'!$E$7,0),IF(LEN(K42)&gt;3,'1 AYAR'!$E$7,0))))</f>
        <v/>
      </c>
      <c r="M42" s="34"/>
      <c r="N42" s="35" t="str">
        <f aca="false">IF($D42&lt;&gt;"Evet","",IF('1 AYAR'!$C$8="Sayı",MIN(M42*'1 AYAR'!$D$8,'1 AYAR'!$E$8),IF('1 AYAR'!$C$8="Evet/Hayır",IF(OR(M42="Var",M42="Yapıldı",M42="Evet"),'1 AYAR'!$E$8,0),IF(LEN(M42)&gt;3,'1 AYAR'!$E$8,0))))</f>
        <v/>
      </c>
      <c r="O42" s="34"/>
      <c r="P42" s="35" t="str">
        <f aca="false">IF($D42&lt;&gt;"Evet","",IF('1 AYAR'!$C$9="Sayı",MIN(O42*'1 AYAR'!$D$9,'1 AYAR'!$E$9),IF('1 AYAR'!$C$9="Evet/Hayır",IF(OR(O42="Var",O42="Yapıldı",O42="Evet"),'1 AYAR'!$E$9,0),IF(LEN(O42)&gt;3,'1 AYAR'!$E$9,0))))</f>
        <v/>
      </c>
      <c r="Q42" s="34"/>
      <c r="R42" s="35" t="str">
        <f aca="false">IF($D42&lt;&gt;"Evet","",IF('1 AYAR'!$C$10="Sayı",MIN(Q42*'1 AYAR'!$D$10,'1 AYAR'!$E$10),IF('1 AYAR'!$C$10="Evet/Hayır",IF(OR(Q42="Var",Q42="Yapıldı",Q42="Evet"),'1 AYAR'!$E$10,0),IF(LEN(Q42)&gt;3,'1 AYAR'!$E$10,0))))</f>
        <v/>
      </c>
      <c r="S42" s="34"/>
      <c r="T42" s="35" t="str">
        <f aca="false">IF($D42&lt;&gt;"Evet","",IF('1 AYAR'!$C$11="Sayı",MIN(S42*'1 AYAR'!$D$11,'1 AYAR'!$E$11),IF('1 AYAR'!$C$11="Evet/Hayır",IF(OR(S42="Var",S42="Yapıldı",S42="Evet"),'1 AYAR'!$E$11,0),IF(LEN(S42)&gt;3,'1 AYAR'!$E$11,0))))</f>
        <v/>
      </c>
      <c r="U42" s="34"/>
      <c r="V42" s="35" t="str">
        <f aca="false">IF($D42&lt;&gt;"Evet","",IF('1 AYAR'!$C$12="Sayı",MIN(U42*'1 AYAR'!$D$12,'1 AYAR'!$E$12),IF('1 AYAR'!$C$12="Evet/Hayır",IF(OR(U42="Var",U42="Yapıldı",U42="Evet"),'1 AYAR'!$E$12,0),IF(LEN(U42)&gt;3,'1 AYAR'!$E$12,0))))</f>
        <v/>
      </c>
      <c r="W42" s="34"/>
      <c r="X42" s="35" t="str">
        <f aca="false">IF($D42&lt;&gt;"Evet","",IF('1 AYAR'!$C$13="Sayı",MIN(W42*'1 AYAR'!$D$13,'1 AYAR'!$E$13),IF('1 AYAR'!$C$13="Evet/Hayır",IF(OR(W42="Var",W42="Yapıldı",W42="Evet"),'1 AYAR'!$E$13,0),IF(LEN(W42)&gt;3,'1 AYAR'!$E$13,0))))</f>
        <v/>
      </c>
      <c r="Y42" s="34"/>
      <c r="Z42" s="35" t="str">
        <f aca="false">IF($D42&lt;&gt;"Evet","",IF('1 AYAR'!$C$14="Sayı",MIN(Y42*'1 AYAR'!$D$14,'1 AYAR'!$E$14),IF('1 AYAR'!$C$14="Evet/Hayır",IF(OR(Y42="Var",Y42="Yapıldı",Y42="Evet"),'1 AYAR'!$E$14,0),IF(LEN(Y42)&gt;3,'1 AYAR'!$E$14,0))))</f>
        <v/>
      </c>
      <c r="AA42" s="36"/>
      <c r="AB42" s="35" t="str">
        <f aca="false">IF($D42&lt;&gt;"Evet","",IF('1 AYAR'!$C$15="Sayı",MIN(AA42*'1 AYAR'!$D$15,'1 AYAR'!$E$15),IF('1 AYAR'!$C$15="Evet/Hayır",IF(OR(AA42="Var",AA42="Yapıldı",AA42="Evet"),'1 AYAR'!$E$15,0),IF(LEN(AA42)&gt;3,'1 AYAR'!$E$15,0))))</f>
        <v/>
      </c>
      <c r="AC42" s="37" t="str">
        <f aca="false">IF($D42&lt;&gt;"Evet","",F42+H42+J42+L42+N42+P42+R42+T42+V42+X42+Z42+AB42)</f>
        <v/>
      </c>
      <c r="AD42" s="38" t="str">
        <f aca="false">IF($D42&lt;&gt;"Evet","",IF(AC42&gt;='1 AYAR'!$C$27,"A",IF(AC42&gt;='1 AYAR'!$C$28,"B",IF(AC42&gt;='1 AYAR'!$C$29,"C","D"))))</f>
        <v/>
      </c>
      <c r="AE42" s="39" t="str">
        <f aca="false">IF($D42&lt;&gt;"Evet","",AC42+ROW()/10000)</f>
        <v/>
      </c>
      <c r="AF42" s="40"/>
    </row>
    <row r="43" customFormat="false" ht="15" hidden="false" customHeight="false" outlineLevel="0" collapsed="false">
      <c r="A43" s="24" t="str">
        <f aca="false">IF($D43&lt;&gt;"Evet","",RANK(AC43,$AC$6:$AC$44,0))</f>
        <v/>
      </c>
      <c r="B43" s="45" t="s">
        <v>238</v>
      </c>
      <c r="C43" s="32" t="s">
        <v>247</v>
      </c>
      <c r="D43" s="33" t="s">
        <v>196</v>
      </c>
      <c r="E43" s="34"/>
      <c r="F43" s="35" t="str">
        <f aca="false">IF($D43&lt;&gt;"Evet","",IF('1 AYAR'!$C$4="Sayı",MIN(E43*'1 AYAR'!$D$4,'1 AYAR'!$E$4),IF('1 AYAR'!$C$4="Evet/Hayır",IF(OR(E43="Var",E43="Yapıldı",E43="Evet"),'1 AYAR'!$E$4,0),IF(LEN(E43)&gt;3,'1 AYAR'!$E$4,0))))</f>
        <v/>
      </c>
      <c r="G43" s="34"/>
      <c r="H43" s="35" t="str">
        <f aca="false">IF($D43&lt;&gt;"Evet","",IF('1 AYAR'!$C$5="Sayı",MIN(G43*'1 AYAR'!$D$5,'1 AYAR'!$E$5),IF('1 AYAR'!$C$5="Evet/Hayır",IF(OR(G43="Var",G43="Yapıldı",G43="Evet"),'1 AYAR'!$E$5,0),IF(LEN(G43)&gt;3,'1 AYAR'!$E$5,0))))</f>
        <v/>
      </c>
      <c r="I43" s="34"/>
      <c r="J43" s="35" t="str">
        <f aca="false">IF($D43&lt;&gt;"Evet","",IF('1 AYAR'!$C$6="Sayı",MIN(I43*'1 AYAR'!$D$6,'1 AYAR'!$E$6),IF('1 AYAR'!$C$6="Evet/Hayır",IF(OR(I43="Var",I43="Yapıldı",I43="Evet"),'1 AYAR'!$E$6,0),IF(LEN(I43)&gt;3,'1 AYAR'!$E$6,0))))</f>
        <v/>
      </c>
      <c r="K43" s="34"/>
      <c r="L43" s="35" t="str">
        <f aca="false">IF($D43&lt;&gt;"Evet","",IF('1 AYAR'!$C$7="Sayı",MIN(K43*'1 AYAR'!$D$7,'1 AYAR'!$E$7),IF('1 AYAR'!$C$7="Evet/Hayır",IF(OR(K43="Var",K43="Yapıldı",K43="Evet"),'1 AYAR'!$E$7,0),IF(LEN(K43)&gt;3,'1 AYAR'!$E$7,0))))</f>
        <v/>
      </c>
      <c r="M43" s="34"/>
      <c r="N43" s="35" t="str">
        <f aca="false">IF($D43&lt;&gt;"Evet","",IF('1 AYAR'!$C$8="Sayı",MIN(M43*'1 AYAR'!$D$8,'1 AYAR'!$E$8),IF('1 AYAR'!$C$8="Evet/Hayır",IF(OR(M43="Var",M43="Yapıldı",M43="Evet"),'1 AYAR'!$E$8,0),IF(LEN(M43)&gt;3,'1 AYAR'!$E$8,0))))</f>
        <v/>
      </c>
      <c r="O43" s="34"/>
      <c r="P43" s="35" t="str">
        <f aca="false">IF($D43&lt;&gt;"Evet","",IF('1 AYAR'!$C$9="Sayı",MIN(O43*'1 AYAR'!$D$9,'1 AYAR'!$E$9),IF('1 AYAR'!$C$9="Evet/Hayır",IF(OR(O43="Var",O43="Yapıldı",O43="Evet"),'1 AYAR'!$E$9,0),IF(LEN(O43)&gt;3,'1 AYAR'!$E$9,0))))</f>
        <v/>
      </c>
      <c r="Q43" s="34"/>
      <c r="R43" s="35" t="str">
        <f aca="false">IF($D43&lt;&gt;"Evet","",IF('1 AYAR'!$C$10="Sayı",MIN(Q43*'1 AYAR'!$D$10,'1 AYAR'!$E$10),IF('1 AYAR'!$C$10="Evet/Hayır",IF(OR(Q43="Var",Q43="Yapıldı",Q43="Evet"),'1 AYAR'!$E$10,0),IF(LEN(Q43)&gt;3,'1 AYAR'!$E$10,0))))</f>
        <v/>
      </c>
      <c r="S43" s="34"/>
      <c r="T43" s="35" t="str">
        <f aca="false">IF($D43&lt;&gt;"Evet","",IF('1 AYAR'!$C$11="Sayı",MIN(S43*'1 AYAR'!$D$11,'1 AYAR'!$E$11),IF('1 AYAR'!$C$11="Evet/Hayır",IF(OR(S43="Var",S43="Yapıldı",S43="Evet"),'1 AYAR'!$E$11,0),IF(LEN(S43)&gt;3,'1 AYAR'!$E$11,0))))</f>
        <v/>
      </c>
      <c r="U43" s="34"/>
      <c r="V43" s="35" t="str">
        <f aca="false">IF($D43&lt;&gt;"Evet","",IF('1 AYAR'!$C$12="Sayı",MIN(U43*'1 AYAR'!$D$12,'1 AYAR'!$E$12),IF('1 AYAR'!$C$12="Evet/Hayır",IF(OR(U43="Var",U43="Yapıldı",U43="Evet"),'1 AYAR'!$E$12,0),IF(LEN(U43)&gt;3,'1 AYAR'!$E$12,0))))</f>
        <v/>
      </c>
      <c r="W43" s="34"/>
      <c r="X43" s="35" t="str">
        <f aca="false">IF($D43&lt;&gt;"Evet","",IF('1 AYAR'!$C$13="Sayı",MIN(W43*'1 AYAR'!$D$13,'1 AYAR'!$E$13),IF('1 AYAR'!$C$13="Evet/Hayır",IF(OR(W43="Var",W43="Yapıldı",W43="Evet"),'1 AYAR'!$E$13,0),IF(LEN(W43)&gt;3,'1 AYAR'!$E$13,0))))</f>
        <v/>
      </c>
      <c r="Y43" s="34"/>
      <c r="Z43" s="35" t="str">
        <f aca="false">IF($D43&lt;&gt;"Evet","",IF('1 AYAR'!$C$14="Sayı",MIN(Y43*'1 AYAR'!$D$14,'1 AYAR'!$E$14),IF('1 AYAR'!$C$14="Evet/Hayır",IF(OR(Y43="Var",Y43="Yapıldı",Y43="Evet"),'1 AYAR'!$E$14,0),IF(LEN(Y43)&gt;3,'1 AYAR'!$E$14,0))))</f>
        <v/>
      </c>
      <c r="AA43" s="36"/>
      <c r="AB43" s="35" t="str">
        <f aca="false">IF($D43&lt;&gt;"Evet","",IF('1 AYAR'!$C$15="Sayı",MIN(AA43*'1 AYAR'!$D$15,'1 AYAR'!$E$15),IF('1 AYAR'!$C$15="Evet/Hayır",IF(OR(AA43="Var",AA43="Yapıldı",AA43="Evet"),'1 AYAR'!$E$15,0),IF(LEN(AA43)&gt;3,'1 AYAR'!$E$15,0))))</f>
        <v/>
      </c>
      <c r="AC43" s="37" t="str">
        <f aca="false">IF($D43&lt;&gt;"Evet","",F43+H43+J43+L43+N43+P43+R43+T43+V43+X43+Z43+AB43)</f>
        <v/>
      </c>
      <c r="AD43" s="38" t="str">
        <f aca="false">IF($D43&lt;&gt;"Evet","",IF(AC43&gt;='1 AYAR'!$C$27,"A",IF(AC43&gt;='1 AYAR'!$C$28,"B",IF(AC43&gt;='1 AYAR'!$C$29,"C","D"))))</f>
        <v/>
      </c>
      <c r="AE43" s="39" t="str">
        <f aca="false">IF($D43&lt;&gt;"Evet","",AC43+ROW()/10000)</f>
        <v/>
      </c>
      <c r="AF43" s="40"/>
    </row>
    <row r="44" customFormat="false" ht="15" hidden="false" customHeight="false" outlineLevel="0" collapsed="false">
      <c r="A44" s="24" t="str">
        <f aca="false">IF($D44&lt;&gt;"Evet","",RANK(AC44,$AC$6:$AC$44,0))</f>
        <v/>
      </c>
      <c r="B44" s="45" t="s">
        <v>238</v>
      </c>
      <c r="C44" s="32" t="s">
        <v>248</v>
      </c>
      <c r="D44" s="33" t="s">
        <v>196</v>
      </c>
      <c r="E44" s="34"/>
      <c r="F44" s="35" t="str">
        <f aca="false">IF($D44&lt;&gt;"Evet","",IF('1 AYAR'!$C$4="Sayı",MIN(E44*'1 AYAR'!$D$4,'1 AYAR'!$E$4),IF('1 AYAR'!$C$4="Evet/Hayır",IF(OR(E44="Var",E44="Yapıldı",E44="Evet"),'1 AYAR'!$E$4,0),IF(LEN(E44)&gt;3,'1 AYAR'!$E$4,0))))</f>
        <v/>
      </c>
      <c r="G44" s="34"/>
      <c r="H44" s="35" t="str">
        <f aca="false">IF($D44&lt;&gt;"Evet","",IF('1 AYAR'!$C$5="Sayı",MIN(G44*'1 AYAR'!$D$5,'1 AYAR'!$E$5),IF('1 AYAR'!$C$5="Evet/Hayır",IF(OR(G44="Var",G44="Yapıldı",G44="Evet"),'1 AYAR'!$E$5,0),IF(LEN(G44)&gt;3,'1 AYAR'!$E$5,0))))</f>
        <v/>
      </c>
      <c r="I44" s="34"/>
      <c r="J44" s="35" t="str">
        <f aca="false">IF($D44&lt;&gt;"Evet","",IF('1 AYAR'!$C$6="Sayı",MIN(I44*'1 AYAR'!$D$6,'1 AYAR'!$E$6),IF('1 AYAR'!$C$6="Evet/Hayır",IF(OR(I44="Var",I44="Yapıldı",I44="Evet"),'1 AYAR'!$E$6,0),IF(LEN(I44)&gt;3,'1 AYAR'!$E$6,0))))</f>
        <v/>
      </c>
      <c r="K44" s="34"/>
      <c r="L44" s="35" t="str">
        <f aca="false">IF($D44&lt;&gt;"Evet","",IF('1 AYAR'!$C$7="Sayı",MIN(K44*'1 AYAR'!$D$7,'1 AYAR'!$E$7),IF('1 AYAR'!$C$7="Evet/Hayır",IF(OR(K44="Var",K44="Yapıldı",K44="Evet"),'1 AYAR'!$E$7,0),IF(LEN(K44)&gt;3,'1 AYAR'!$E$7,0))))</f>
        <v/>
      </c>
      <c r="M44" s="34"/>
      <c r="N44" s="35" t="str">
        <f aca="false">IF($D44&lt;&gt;"Evet","",IF('1 AYAR'!$C$8="Sayı",MIN(M44*'1 AYAR'!$D$8,'1 AYAR'!$E$8),IF('1 AYAR'!$C$8="Evet/Hayır",IF(OR(M44="Var",M44="Yapıldı",M44="Evet"),'1 AYAR'!$E$8,0),IF(LEN(M44)&gt;3,'1 AYAR'!$E$8,0))))</f>
        <v/>
      </c>
      <c r="O44" s="34"/>
      <c r="P44" s="35" t="str">
        <f aca="false">IF($D44&lt;&gt;"Evet","",IF('1 AYAR'!$C$9="Sayı",MIN(O44*'1 AYAR'!$D$9,'1 AYAR'!$E$9),IF('1 AYAR'!$C$9="Evet/Hayır",IF(OR(O44="Var",O44="Yapıldı",O44="Evet"),'1 AYAR'!$E$9,0),IF(LEN(O44)&gt;3,'1 AYAR'!$E$9,0))))</f>
        <v/>
      </c>
      <c r="Q44" s="34"/>
      <c r="R44" s="35" t="str">
        <f aca="false">IF($D44&lt;&gt;"Evet","",IF('1 AYAR'!$C$10="Sayı",MIN(Q44*'1 AYAR'!$D$10,'1 AYAR'!$E$10),IF('1 AYAR'!$C$10="Evet/Hayır",IF(OR(Q44="Var",Q44="Yapıldı",Q44="Evet"),'1 AYAR'!$E$10,0),IF(LEN(Q44)&gt;3,'1 AYAR'!$E$10,0))))</f>
        <v/>
      </c>
      <c r="S44" s="34"/>
      <c r="T44" s="35" t="str">
        <f aca="false">IF($D44&lt;&gt;"Evet","",IF('1 AYAR'!$C$11="Sayı",MIN(S44*'1 AYAR'!$D$11,'1 AYAR'!$E$11),IF('1 AYAR'!$C$11="Evet/Hayır",IF(OR(S44="Var",S44="Yapıldı",S44="Evet"),'1 AYAR'!$E$11,0),IF(LEN(S44)&gt;3,'1 AYAR'!$E$11,0))))</f>
        <v/>
      </c>
      <c r="U44" s="34"/>
      <c r="V44" s="35" t="str">
        <f aca="false">IF($D44&lt;&gt;"Evet","",IF('1 AYAR'!$C$12="Sayı",MIN(U44*'1 AYAR'!$D$12,'1 AYAR'!$E$12),IF('1 AYAR'!$C$12="Evet/Hayır",IF(OR(U44="Var",U44="Yapıldı",U44="Evet"),'1 AYAR'!$E$12,0),IF(LEN(U44)&gt;3,'1 AYAR'!$E$12,0))))</f>
        <v/>
      </c>
      <c r="W44" s="34"/>
      <c r="X44" s="35" t="str">
        <f aca="false">IF($D44&lt;&gt;"Evet","",IF('1 AYAR'!$C$13="Sayı",MIN(W44*'1 AYAR'!$D$13,'1 AYAR'!$E$13),IF('1 AYAR'!$C$13="Evet/Hayır",IF(OR(W44="Var",W44="Yapıldı",W44="Evet"),'1 AYAR'!$E$13,0),IF(LEN(W44)&gt;3,'1 AYAR'!$E$13,0))))</f>
        <v/>
      </c>
      <c r="Y44" s="34"/>
      <c r="Z44" s="35" t="str">
        <f aca="false">IF($D44&lt;&gt;"Evet","",IF('1 AYAR'!$C$14="Sayı",MIN(Y44*'1 AYAR'!$D$14,'1 AYAR'!$E$14),IF('1 AYAR'!$C$14="Evet/Hayır",IF(OR(Y44="Var",Y44="Yapıldı",Y44="Evet"),'1 AYAR'!$E$14,0),IF(LEN(Y44)&gt;3,'1 AYAR'!$E$14,0))))</f>
        <v/>
      </c>
      <c r="AA44" s="36"/>
      <c r="AB44" s="35" t="str">
        <f aca="false">IF($D44&lt;&gt;"Evet","",IF('1 AYAR'!$C$15="Sayı",MIN(AA44*'1 AYAR'!$D$15,'1 AYAR'!$E$15),IF('1 AYAR'!$C$15="Evet/Hayır",IF(OR(AA44="Var",AA44="Yapıldı",AA44="Evet"),'1 AYAR'!$E$15,0),IF(LEN(AA44)&gt;3,'1 AYAR'!$E$15,0))))</f>
        <v/>
      </c>
      <c r="AC44" s="37" t="str">
        <f aca="false">IF($D44&lt;&gt;"Evet","",F44+H44+J44+L44+N44+P44+R44+T44+V44+X44+Z44+AB44)</f>
        <v/>
      </c>
      <c r="AD44" s="38" t="str">
        <f aca="false">IF($D44&lt;&gt;"Evet","",IF(AC44&gt;='1 AYAR'!$C$27,"A",IF(AC44&gt;='1 AYAR'!$C$28,"B",IF(AC44&gt;='1 AYAR'!$C$29,"C","D"))))</f>
        <v/>
      </c>
      <c r="AE44" s="39" t="str">
        <f aca="false">IF($D44&lt;&gt;"Evet","",AC44+ROW()/10000)</f>
        <v/>
      </c>
      <c r="AF44" s="40"/>
    </row>
    <row r="45" customFormat="false" ht="15" hidden="false" customHeight="false" outlineLevel="0" collapsed="false">
      <c r="C45" s="19" t="s">
        <v>249</v>
      </c>
      <c r="AC45" s="46" t="n">
        <f aca="false">IFERROR(SUMPRODUCT(($D$6:$D$44="Evet")*IF($D$6:$D$44="Evet",$AC$6:$AC$44,0))/COUNTIF($D$6:$D$44,"Evet"),0)</f>
        <v>42.3888888888889</v>
      </c>
    </row>
    <row r="46" customFormat="false" ht="15" hidden="false" customHeight="false" outlineLevel="0" collapsed="false">
      <c r="C46" s="47" t="s">
        <v>250</v>
      </c>
      <c r="AC46" s="24" t="n">
        <f aca="false">COUNTIF($D$6:$D$44,"Evet")</f>
        <v>9</v>
      </c>
    </row>
    <row r="48" customFormat="false" ht="54.75" hidden="false" customHeight="true" outlineLevel="0" collapsed="false">
      <c r="A48" s="13" t="s">
        <v>251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</sheetData>
  <mergeCells count="22">
    <mergeCell ref="A1:AF1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C5"/>
    <mergeCell ref="AD4:AD5"/>
    <mergeCell ref="AE4:AE5"/>
    <mergeCell ref="AF4:AF5"/>
    <mergeCell ref="A48:AF48"/>
  </mergeCells>
  <conditionalFormatting sqref="AC6:AC44">
    <cfRule type="colorScale" priority="2">
      <colorScale>
        <cfvo type="num" val="0"/>
        <cfvo type="num" val="45"/>
        <cfvo type="num" val="80"/>
        <color rgb="FFF8696B"/>
        <color rgb="FFFFEB84"/>
        <color rgb="FF63BE7B"/>
      </colorScale>
    </cfRule>
  </conditionalFormatting>
  <dataValidations count="3">
    <dataValidation allowBlank="true" errorStyle="stop" operator="between" showDropDown="false" showErrorMessage="false" showInputMessage="false" sqref="D6:D44" type="list">
      <formula1>"Evet,Hayır"</formula1>
      <formula2>0</formula2>
    </dataValidation>
    <dataValidation allowBlank="true" errorStyle="stop" operator="between" showDropDown="false" showErrorMessage="false" showInputMessage="false" sqref="I6:I44" type="list">
      <formula1>"Var,Yok"</formula1>
      <formula2>0</formula2>
    </dataValidation>
    <dataValidation allowBlank="true" errorStyle="stop" operator="between" showDropDown="false" showErrorMessage="false" showInputMessage="false" sqref="O6:O44 Q6:Q44" type="list">
      <formula1>"Yapıldı,Yapılmadı"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14" min="3" style="0" width="9"/>
    <col collapsed="false" customWidth="true" hidden="false" outlineLevel="0" max="15" min="15" style="0" width="11"/>
    <col collapsed="false" customWidth="true" hidden="false" outlineLevel="0" max="16" min="16" style="0" width="12"/>
  </cols>
  <sheetData>
    <row r="1" customFormat="false" ht="25.5" hidden="false" customHeight="true" outlineLevel="0" collapsed="false">
      <c r="A1" s="1" t="s">
        <v>252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B2" s="28" t="s">
        <v>253</v>
      </c>
    </row>
    <row r="4" customFormat="false" ht="33.75" hidden="false" customHeight="true" outlineLevel="0" collapsed="false">
      <c r="A4" s="9" t="s">
        <v>35</v>
      </c>
      <c r="B4" s="9" t="s">
        <v>186</v>
      </c>
      <c r="C4" s="9" t="s">
        <v>254</v>
      </c>
      <c r="D4" s="9" t="s">
        <v>255</v>
      </c>
      <c r="E4" s="9" t="s">
        <v>256</v>
      </c>
      <c r="F4" s="9" t="s">
        <v>257</v>
      </c>
      <c r="G4" s="9" t="s">
        <v>258</v>
      </c>
      <c r="H4" s="9" t="s">
        <v>259</v>
      </c>
      <c r="I4" s="9" t="s">
        <v>260</v>
      </c>
      <c r="J4" s="9" t="s">
        <v>261</v>
      </c>
      <c r="K4" s="9" t="s">
        <v>262</v>
      </c>
      <c r="L4" s="9" t="s">
        <v>263</v>
      </c>
      <c r="M4" s="9" t="s">
        <v>264</v>
      </c>
      <c r="N4" s="9" t="s">
        <v>265</v>
      </c>
      <c r="O4" s="9" t="s">
        <v>266</v>
      </c>
      <c r="P4" s="9" t="s">
        <v>267</v>
      </c>
    </row>
    <row r="5" customFormat="false" ht="15" hidden="false" customHeight="false" outlineLevel="0" collapsed="false">
      <c r="A5" s="18" t="n">
        <v>1</v>
      </c>
      <c r="B5" s="48" t="s">
        <v>195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50" t="str">
        <f aca="false">IF(COUNT(C5:N5)=0,"",AVERAGE(C5:N5))</f>
        <v/>
      </c>
      <c r="P5" s="24" t="str">
        <f aca="false">IF(COUNT(C5:N5)&lt;2,"—",IF(INDEX(C5:N5,COUNT(C5:N5))&gt;INDEX(C5:N5,COUNT(C5:N5)-1),"▲ Yükseliş",IF(INDEX(C5:N5,COUNT(C5:N5))&lt;INDEX(C5:N5,COUNT(C5:N5)-1),"▼ Düşüş","▬ Sabit")))</f>
        <v>—</v>
      </c>
    </row>
    <row r="6" customFormat="false" ht="15" hidden="false" customHeight="false" outlineLevel="0" collapsed="false">
      <c r="A6" s="18" t="n">
        <v>2</v>
      </c>
      <c r="B6" s="48" t="s">
        <v>197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50" t="str">
        <f aca="false">IF(COUNT(C6:N6)=0,"",AVERAGE(C6:N6))</f>
        <v/>
      </c>
      <c r="P6" s="24" t="str">
        <f aca="false">IF(COUNT(C6:N6)&lt;2,"—",IF(INDEX(C6:N6,COUNT(C6:N6))&gt;INDEX(C6:N6,COUNT(C6:N6)-1),"▲ Yükseliş",IF(INDEX(C6:N6,COUNT(C6:N6))&lt;INDEX(C6:N6,COUNT(C6:N6)-1),"▼ Düşüş","▬ Sabit")))</f>
        <v>—</v>
      </c>
    </row>
    <row r="7" customFormat="false" ht="15" hidden="false" customHeight="false" outlineLevel="0" collapsed="false">
      <c r="A7" s="18" t="n">
        <v>3</v>
      </c>
      <c r="B7" s="48" t="s">
        <v>198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50" t="str">
        <f aca="false">IF(COUNT(C7:N7)=0,"",AVERAGE(C7:N7))</f>
        <v/>
      </c>
      <c r="P7" s="24" t="str">
        <f aca="false">IF(COUNT(C7:N7)&lt;2,"—",IF(INDEX(C7:N7,COUNT(C7:N7))&gt;INDEX(C7:N7,COUNT(C7:N7)-1),"▲ Yükseliş",IF(INDEX(C7:N7,COUNT(C7:N7))&lt;INDEX(C7:N7,COUNT(C7:N7)-1),"▼ Düşüş","▬ Sabit")))</f>
        <v>—</v>
      </c>
    </row>
    <row r="8" customFormat="false" ht="15" hidden="false" customHeight="false" outlineLevel="0" collapsed="false">
      <c r="A8" s="18" t="n">
        <v>4</v>
      </c>
      <c r="B8" s="48" t="s">
        <v>199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50" t="str">
        <f aca="false">IF(COUNT(C8:N8)=0,"",AVERAGE(C8:N8))</f>
        <v/>
      </c>
      <c r="P8" s="24" t="str">
        <f aca="false">IF(COUNT(C8:N8)&lt;2,"—",IF(INDEX(C8:N8,COUNT(C8:N8))&gt;INDEX(C8:N8,COUNT(C8:N8)-1),"▲ Yükseliş",IF(INDEX(C8:N8,COUNT(C8:N8))&lt;INDEX(C8:N8,COUNT(C8:N8)-1),"▼ Düşüş","▬ Sabit")))</f>
        <v>—</v>
      </c>
    </row>
    <row r="9" customFormat="false" ht="15" hidden="false" customHeight="false" outlineLevel="0" collapsed="false">
      <c r="A9" s="18" t="n">
        <v>5</v>
      </c>
      <c r="B9" s="48" t="s">
        <v>200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50" t="str">
        <f aca="false">IF(COUNT(C9:N9)=0,"",AVERAGE(C9:N9))</f>
        <v/>
      </c>
      <c r="P9" s="24" t="str">
        <f aca="false">IF(COUNT(C9:N9)&lt;2,"—",IF(INDEX(C9:N9,COUNT(C9:N9))&gt;INDEX(C9:N9,COUNT(C9:N9)-1),"▲ Yükseliş",IF(INDEX(C9:N9,COUNT(C9:N9))&lt;INDEX(C9:N9,COUNT(C9:N9)-1),"▼ Düşüş","▬ Sabit")))</f>
        <v>—</v>
      </c>
    </row>
    <row r="10" customFormat="false" ht="15" hidden="false" customHeight="false" outlineLevel="0" collapsed="false">
      <c r="A10" s="18" t="n">
        <v>6</v>
      </c>
      <c r="B10" s="41" t="s">
        <v>201</v>
      </c>
      <c r="C10" s="49"/>
      <c r="D10" s="49"/>
      <c r="E10" s="49" t="n">
        <v>39</v>
      </c>
      <c r="F10" s="49"/>
      <c r="G10" s="49"/>
      <c r="H10" s="49"/>
      <c r="I10" s="49"/>
      <c r="J10" s="49"/>
      <c r="K10" s="49"/>
      <c r="L10" s="49"/>
      <c r="M10" s="49"/>
      <c r="N10" s="49"/>
      <c r="O10" s="50" t="n">
        <f aca="false">IF(COUNT(C10:N10)=0,"",AVERAGE(C10:N10))</f>
        <v>39</v>
      </c>
      <c r="P10" s="24" t="str">
        <f aca="false">IF(COUNT(C10:N10)&lt;2,"—",IF(INDEX(C10:N10,COUNT(C10:N10))&gt;INDEX(C10:N10,COUNT(C10:N10)-1),"▲ Yükseliş",IF(INDEX(C10:N10,COUNT(C10:N10))&lt;INDEX(C10:N10,COUNT(C10:N10)-1),"▼ Düşüş","▬ Sabit")))</f>
        <v>—</v>
      </c>
    </row>
    <row r="11" customFormat="false" ht="15" hidden="false" customHeight="false" outlineLevel="0" collapsed="false">
      <c r="A11" s="18" t="n">
        <v>7</v>
      </c>
      <c r="B11" s="48" t="s">
        <v>207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50" t="str">
        <f aca="false">IF(COUNT(C11:N11)=0,"",AVERAGE(C11:N11))</f>
        <v/>
      </c>
      <c r="P11" s="24" t="str">
        <f aca="false">IF(COUNT(C11:N11)&lt;2,"—",IF(INDEX(C11:N11,COUNT(C11:N11))&gt;INDEX(C11:N11,COUNT(C11:N11)-1),"▲ Yükseliş",IF(INDEX(C11:N11,COUNT(C11:N11))&lt;INDEX(C11:N11,COUNT(C11:N11)-1),"▼ Düşüş","▬ Sabit")))</f>
        <v>—</v>
      </c>
    </row>
    <row r="12" customFormat="false" ht="15" hidden="false" customHeight="false" outlineLevel="0" collapsed="false">
      <c r="A12" s="18" t="n">
        <v>8</v>
      </c>
      <c r="B12" s="48" t="s">
        <v>208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0" t="str">
        <f aca="false">IF(COUNT(C12:N12)=0,"",AVERAGE(C12:N12))</f>
        <v/>
      </c>
      <c r="P12" s="24" t="str">
        <f aca="false">IF(COUNT(C12:N12)&lt;2,"—",IF(INDEX(C12:N12,COUNT(C12:N12))&gt;INDEX(C12:N12,COUNT(C12:N12)-1),"▲ Yükseliş",IF(INDEX(C12:N12,COUNT(C12:N12))&lt;INDEX(C12:N12,COUNT(C12:N12)-1),"▼ Düşüş","▬ Sabit")))</f>
        <v>—</v>
      </c>
    </row>
    <row r="13" customFormat="false" ht="15" hidden="false" customHeight="false" outlineLevel="0" collapsed="false">
      <c r="A13" s="18" t="n">
        <v>9</v>
      </c>
      <c r="B13" s="48" t="s">
        <v>209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50" t="str">
        <f aca="false">IF(COUNT(C13:N13)=0,"",AVERAGE(C13:N13))</f>
        <v/>
      </c>
      <c r="P13" s="24" t="str">
        <f aca="false">IF(COUNT(C13:N13)&lt;2,"—",IF(INDEX(C13:N13,COUNT(C13:N13))&gt;INDEX(C13:N13,COUNT(C13:N13)-1),"▲ Yükseliş",IF(INDEX(C13:N13,COUNT(C13:N13))&lt;INDEX(C13:N13,COUNT(C13:N13)-1),"▼ Düşüş","▬ Sabit")))</f>
        <v>—</v>
      </c>
    </row>
    <row r="14" customFormat="false" ht="15" hidden="false" customHeight="false" outlineLevel="0" collapsed="false">
      <c r="A14" s="18" t="n">
        <v>10</v>
      </c>
      <c r="B14" s="48" t="s">
        <v>210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50" t="str">
        <f aca="false">IF(COUNT(C14:N14)=0,"",AVERAGE(C14:N14))</f>
        <v/>
      </c>
      <c r="P14" s="24" t="str">
        <f aca="false">IF(COUNT(C14:N14)&lt;2,"—",IF(INDEX(C14:N14,COUNT(C14:N14))&gt;INDEX(C14:N14,COUNT(C14:N14)-1),"▲ Yükseliş",IF(INDEX(C14:N14,COUNT(C14:N14))&lt;INDEX(C14:N14,COUNT(C14:N14)-1),"▼ Düşüş","▬ Sabit")))</f>
        <v>—</v>
      </c>
    </row>
    <row r="15" customFormat="false" ht="15" hidden="false" customHeight="false" outlineLevel="0" collapsed="false">
      <c r="A15" s="18" t="n">
        <v>11</v>
      </c>
      <c r="B15" s="41" t="s">
        <v>212</v>
      </c>
      <c r="C15" s="49"/>
      <c r="D15" s="49"/>
      <c r="E15" s="49" t="n">
        <v>36</v>
      </c>
      <c r="F15" s="49"/>
      <c r="G15" s="49"/>
      <c r="H15" s="49"/>
      <c r="I15" s="49"/>
      <c r="J15" s="49"/>
      <c r="K15" s="49"/>
      <c r="L15" s="49"/>
      <c r="M15" s="49"/>
      <c r="N15" s="49"/>
      <c r="O15" s="50" t="n">
        <f aca="false">IF(COUNT(C15:N15)=0,"",AVERAGE(C15:N15))</f>
        <v>36</v>
      </c>
      <c r="P15" s="24" t="str">
        <f aca="false">IF(COUNT(C15:N15)&lt;2,"—",IF(INDEX(C15:N15,COUNT(C15:N15))&gt;INDEX(C15:N15,COUNT(C15:N15)-1),"▲ Yükseliş",IF(INDEX(C15:N15,COUNT(C15:N15))&lt;INDEX(C15:N15,COUNT(C15:N15)-1),"▼ Düşüş","▬ Sabit")))</f>
        <v>—</v>
      </c>
    </row>
    <row r="16" customFormat="false" ht="15" hidden="false" customHeight="false" outlineLevel="0" collapsed="false">
      <c r="A16" s="18" t="n">
        <v>12</v>
      </c>
      <c r="B16" s="41" t="s">
        <v>214</v>
      </c>
      <c r="C16" s="49"/>
      <c r="D16" s="49"/>
      <c r="E16" s="49" t="n">
        <v>63</v>
      </c>
      <c r="F16" s="49"/>
      <c r="G16" s="49"/>
      <c r="H16" s="49"/>
      <c r="I16" s="49"/>
      <c r="J16" s="49"/>
      <c r="K16" s="49"/>
      <c r="L16" s="49"/>
      <c r="M16" s="49"/>
      <c r="N16" s="49"/>
      <c r="O16" s="50" t="n">
        <f aca="false">IF(COUNT(C16:N16)=0,"",AVERAGE(C16:N16))</f>
        <v>63</v>
      </c>
      <c r="P16" s="24" t="str">
        <f aca="false">IF(COUNT(C16:N16)&lt;2,"—",IF(INDEX(C16:N16,COUNT(C16:N16))&gt;INDEX(C16:N16,COUNT(C16:N16)-1),"▲ Yükseliş",IF(INDEX(C16:N16,COUNT(C16:N16))&lt;INDEX(C16:N16,COUNT(C16:N16)-1),"▼ Düşüş","▬ Sabit")))</f>
        <v>—</v>
      </c>
    </row>
    <row r="17" customFormat="false" ht="15" hidden="false" customHeight="false" outlineLevel="0" collapsed="false">
      <c r="A17" s="18" t="n">
        <v>13</v>
      </c>
      <c r="B17" s="41" t="s">
        <v>216</v>
      </c>
      <c r="C17" s="49"/>
      <c r="D17" s="49"/>
      <c r="E17" s="49" t="n">
        <v>58</v>
      </c>
      <c r="F17" s="49"/>
      <c r="G17" s="49"/>
      <c r="H17" s="49"/>
      <c r="I17" s="49"/>
      <c r="J17" s="49"/>
      <c r="K17" s="49"/>
      <c r="L17" s="49"/>
      <c r="M17" s="49"/>
      <c r="N17" s="49"/>
      <c r="O17" s="50" t="n">
        <f aca="false">IF(COUNT(C17:N17)=0,"",AVERAGE(C17:N17))</f>
        <v>58</v>
      </c>
      <c r="P17" s="24" t="str">
        <f aca="false">IF(COUNT(C17:N17)&lt;2,"—",IF(INDEX(C17:N17,COUNT(C17:N17))&gt;INDEX(C17:N17,COUNT(C17:N17)-1),"▲ Yükseliş",IF(INDEX(C17:N17,COUNT(C17:N17))&lt;INDEX(C17:N17,COUNT(C17:N17)-1),"▼ Düşüş","▬ Sabit")))</f>
        <v>—</v>
      </c>
    </row>
    <row r="18" customFormat="false" ht="15" hidden="false" customHeight="false" outlineLevel="0" collapsed="false">
      <c r="A18" s="18" t="n">
        <v>14</v>
      </c>
      <c r="B18" s="51" t="s">
        <v>218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50" t="str">
        <f aca="false">IF(COUNT(C18:N18)=0,"",AVERAGE(C18:N18))</f>
        <v/>
      </c>
      <c r="P18" s="24" t="str">
        <f aca="false">IF(COUNT(C18:N18)&lt;2,"—",IF(INDEX(C18:N18,COUNT(C18:N18))&gt;INDEX(C18:N18,COUNT(C18:N18)-1),"▲ Yükseliş",IF(INDEX(C18:N18,COUNT(C18:N18))&lt;INDEX(C18:N18,COUNT(C18:N18)-1),"▼ Düşüş","▬ Sabit")))</f>
        <v>—</v>
      </c>
    </row>
    <row r="19" customFormat="false" ht="15" hidden="false" customHeight="false" outlineLevel="0" collapsed="false">
      <c r="A19" s="18" t="n">
        <v>15</v>
      </c>
      <c r="B19" s="51" t="s">
        <v>219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50" t="str">
        <f aca="false">IF(COUNT(C19:N19)=0,"",AVERAGE(C19:N19))</f>
        <v/>
      </c>
      <c r="P19" s="24" t="str">
        <f aca="false">IF(COUNT(C19:N19)&lt;2,"—",IF(INDEX(C19:N19,COUNT(C19:N19))&gt;INDEX(C19:N19,COUNT(C19:N19)-1),"▲ Yükseliş",IF(INDEX(C19:N19,COUNT(C19:N19))&lt;INDEX(C19:N19,COUNT(C19:N19)-1),"▼ Düşüş","▬ Sabit")))</f>
        <v>—</v>
      </c>
    </row>
    <row r="20" customFormat="false" ht="15" hidden="false" customHeight="false" outlineLevel="0" collapsed="false">
      <c r="A20" s="18" t="n">
        <v>16</v>
      </c>
      <c r="B20" s="51" t="s">
        <v>220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50" t="str">
        <f aca="false">IF(COUNT(C20:N20)=0,"",AVERAGE(C20:N20))</f>
        <v/>
      </c>
      <c r="P20" s="24" t="str">
        <f aca="false">IF(COUNT(C20:N20)&lt;2,"—",IF(INDEX(C20:N20,COUNT(C20:N20))&gt;INDEX(C20:N20,COUNT(C20:N20)-1),"▲ Yükseliş",IF(INDEX(C20:N20,COUNT(C20:N20))&lt;INDEX(C20:N20,COUNT(C20:N20)-1),"▼ Düşüş","▬ Sabit")))</f>
        <v>—</v>
      </c>
    </row>
    <row r="21" customFormat="false" ht="15" hidden="false" customHeight="false" outlineLevel="0" collapsed="false">
      <c r="A21" s="18" t="n">
        <v>17</v>
      </c>
      <c r="B21" s="51" t="s">
        <v>221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50" t="str">
        <f aca="false">IF(COUNT(C21:N21)=0,"",AVERAGE(C21:N21))</f>
        <v/>
      </c>
      <c r="P21" s="24" t="str">
        <f aca="false">IF(COUNT(C21:N21)&lt;2,"—",IF(INDEX(C21:N21,COUNT(C21:N21))&gt;INDEX(C21:N21,COUNT(C21:N21)-1),"▲ Yükseliş",IF(INDEX(C21:N21,COUNT(C21:N21))&lt;INDEX(C21:N21,COUNT(C21:N21)-1),"▼ Düşüş","▬ Sabit")))</f>
        <v>—</v>
      </c>
    </row>
    <row r="22" customFormat="false" ht="15" hidden="false" customHeight="false" outlineLevel="0" collapsed="false">
      <c r="A22" s="18" t="n">
        <v>18</v>
      </c>
      <c r="B22" s="51" t="s">
        <v>222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50" t="str">
        <f aca="false">IF(COUNT(C22:N22)=0,"",AVERAGE(C22:N22))</f>
        <v/>
      </c>
      <c r="P22" s="24" t="str">
        <f aca="false">IF(COUNT(C22:N22)&lt;2,"—",IF(INDEX(C22:N22,COUNT(C22:N22))&gt;INDEX(C22:N22,COUNT(C22:N22)-1),"▲ Yükseliş",IF(INDEX(C22:N22,COUNT(C22:N22))&lt;INDEX(C22:N22,COUNT(C22:N22)-1),"▼ Düşüş","▬ Sabit")))</f>
        <v>—</v>
      </c>
    </row>
    <row r="23" customFormat="false" ht="15" hidden="false" customHeight="false" outlineLevel="0" collapsed="false">
      <c r="A23" s="18" t="n">
        <v>19</v>
      </c>
      <c r="B23" s="51" t="s">
        <v>223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0" t="str">
        <f aca="false">IF(COUNT(C23:N23)=0,"",AVERAGE(C23:N23))</f>
        <v/>
      </c>
      <c r="P23" s="24" t="str">
        <f aca="false">IF(COUNT(C23:N23)&lt;2,"—",IF(INDEX(C23:N23,COUNT(C23:N23))&gt;INDEX(C23:N23,COUNT(C23:N23)-1),"▲ Yükseliş",IF(INDEX(C23:N23,COUNT(C23:N23))&lt;INDEX(C23:N23,COUNT(C23:N23)-1),"▼ Düşüş","▬ Sabit")))</f>
        <v>—</v>
      </c>
    </row>
    <row r="24" customFormat="false" ht="15" hidden="false" customHeight="false" outlineLevel="0" collapsed="false">
      <c r="A24" s="18" t="n">
        <v>20</v>
      </c>
      <c r="B24" s="51" t="s">
        <v>224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0" t="str">
        <f aca="false">IF(COUNT(C24:N24)=0,"",AVERAGE(C24:N24))</f>
        <v/>
      </c>
      <c r="P24" s="24" t="str">
        <f aca="false">IF(COUNT(C24:N24)&lt;2,"—",IF(INDEX(C24:N24,COUNT(C24:N24))&gt;INDEX(C24:N24,COUNT(C24:N24)-1),"▲ Yükseliş",IF(INDEX(C24:N24,COUNT(C24:N24))&lt;INDEX(C24:N24,COUNT(C24:N24)-1),"▼ Düşüş","▬ Sabit")))</f>
        <v>—</v>
      </c>
    </row>
    <row r="25" customFormat="false" ht="15" hidden="false" customHeight="false" outlineLevel="0" collapsed="false">
      <c r="A25" s="18" t="n">
        <v>21</v>
      </c>
      <c r="B25" s="51" t="s">
        <v>225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0" t="str">
        <f aca="false">IF(COUNT(C25:N25)=0,"",AVERAGE(C25:N25))</f>
        <v/>
      </c>
      <c r="P25" s="24" t="str">
        <f aca="false">IF(COUNT(C25:N25)&lt;2,"—",IF(INDEX(C25:N25,COUNT(C25:N25))&gt;INDEX(C25:N25,COUNT(C25:N25)-1),"▲ Yükseliş",IF(INDEX(C25:N25,COUNT(C25:N25))&lt;INDEX(C25:N25,COUNT(C25:N25)-1),"▼ Düşüş","▬ Sabit")))</f>
        <v>—</v>
      </c>
    </row>
    <row r="26" customFormat="false" ht="15" hidden="false" customHeight="false" outlineLevel="0" collapsed="false">
      <c r="A26" s="18" t="n">
        <v>22</v>
      </c>
      <c r="B26" s="51" t="s">
        <v>226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0" t="str">
        <f aca="false">IF(COUNT(C26:N26)=0,"",AVERAGE(C26:N26))</f>
        <v/>
      </c>
      <c r="P26" s="24" t="str">
        <f aca="false">IF(COUNT(C26:N26)&lt;2,"—",IF(INDEX(C26:N26,COUNT(C26:N26))&gt;INDEX(C26:N26,COUNT(C26:N26)-1),"▲ Yükseliş",IF(INDEX(C26:N26,COUNT(C26:N26))&lt;INDEX(C26:N26,COUNT(C26:N26)-1),"▼ Düşüş","▬ Sabit")))</f>
        <v>—</v>
      </c>
    </row>
    <row r="27" customFormat="false" ht="15" hidden="false" customHeight="false" outlineLevel="0" collapsed="false">
      <c r="A27" s="18" t="n">
        <v>23</v>
      </c>
      <c r="B27" s="51" t="s">
        <v>227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0" t="str">
        <f aca="false">IF(COUNT(C27:N27)=0,"",AVERAGE(C27:N27))</f>
        <v/>
      </c>
      <c r="P27" s="24" t="str">
        <f aca="false">IF(COUNT(C27:N27)&lt;2,"—",IF(INDEX(C27:N27,COUNT(C27:N27))&gt;INDEX(C27:N27,COUNT(C27:N27)-1),"▲ Yükseliş",IF(INDEX(C27:N27,COUNT(C27:N27))&lt;INDEX(C27:N27,COUNT(C27:N27)-1),"▼ Düşüş","▬ Sabit")))</f>
        <v>—</v>
      </c>
    </row>
    <row r="28" customFormat="false" ht="15" hidden="false" customHeight="false" outlineLevel="0" collapsed="false">
      <c r="A28" s="18" t="n">
        <v>24</v>
      </c>
      <c r="B28" s="51" t="s">
        <v>228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 t="str">
        <f aca="false">IF(COUNT(C28:N28)=0,"",AVERAGE(C28:N28))</f>
        <v/>
      </c>
      <c r="P28" s="24" t="str">
        <f aca="false">IF(COUNT(C28:N28)&lt;2,"—",IF(INDEX(C28:N28,COUNT(C28:N28))&gt;INDEX(C28:N28,COUNT(C28:N28)-1),"▲ Yükseliş",IF(INDEX(C28:N28,COUNT(C28:N28))&lt;INDEX(C28:N28,COUNT(C28:N28)-1),"▼ Düşüş","▬ Sabit")))</f>
        <v>—</v>
      </c>
    </row>
    <row r="29" customFormat="false" ht="15" hidden="false" customHeight="false" outlineLevel="0" collapsed="false">
      <c r="A29" s="18" t="n">
        <v>25</v>
      </c>
      <c r="B29" s="51" t="s">
        <v>229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0" t="str">
        <f aca="false">IF(COUNT(C29:N29)=0,"",AVERAGE(C29:N29))</f>
        <v/>
      </c>
      <c r="P29" s="24" t="str">
        <f aca="false">IF(COUNT(C29:N29)&lt;2,"—",IF(INDEX(C29:N29,COUNT(C29:N29))&gt;INDEX(C29:N29,COUNT(C29:N29)-1),"▲ Yükseliş",IF(INDEX(C29:N29,COUNT(C29:N29))&lt;INDEX(C29:N29,COUNT(C29:N29)-1),"▼ Düşüş","▬ Sabit")))</f>
        <v>—</v>
      </c>
    </row>
    <row r="30" customFormat="false" ht="15" hidden="false" customHeight="false" outlineLevel="0" collapsed="false">
      <c r="A30" s="18" t="n">
        <v>26</v>
      </c>
      <c r="B30" s="41" t="s">
        <v>231</v>
      </c>
      <c r="C30" s="49"/>
      <c r="D30" s="49"/>
      <c r="E30" s="49" t="n">
        <v>32.5</v>
      </c>
      <c r="F30" s="49"/>
      <c r="G30" s="49"/>
      <c r="H30" s="49"/>
      <c r="I30" s="49"/>
      <c r="J30" s="49"/>
      <c r="K30" s="49"/>
      <c r="L30" s="49"/>
      <c r="M30" s="49"/>
      <c r="N30" s="49"/>
      <c r="O30" s="50" t="n">
        <f aca="false">IF(COUNT(C30:N30)=0,"",AVERAGE(C30:N30))</f>
        <v>32.5</v>
      </c>
      <c r="P30" s="24" t="str">
        <f aca="false">IF(COUNT(C30:N30)&lt;2,"—",IF(INDEX(C30:N30,COUNT(C30:N30))&gt;INDEX(C30:N30,COUNT(C30:N30)-1),"▲ Yükseliş",IF(INDEX(C30:N30,COUNT(C30:N30))&lt;INDEX(C30:N30,COUNT(C30:N30)-1),"▼ Düşüş","▬ Sabit")))</f>
        <v>—</v>
      </c>
    </row>
    <row r="31" customFormat="false" ht="15" hidden="false" customHeight="false" outlineLevel="0" collapsed="false">
      <c r="A31" s="18" t="n">
        <v>27</v>
      </c>
      <c r="B31" s="41" t="s">
        <v>232</v>
      </c>
      <c r="C31" s="49"/>
      <c r="D31" s="49"/>
      <c r="E31" s="49" t="n">
        <v>35</v>
      </c>
      <c r="F31" s="49"/>
      <c r="G31" s="49"/>
      <c r="H31" s="49"/>
      <c r="I31" s="49"/>
      <c r="J31" s="49"/>
      <c r="K31" s="49"/>
      <c r="L31" s="49"/>
      <c r="M31" s="49"/>
      <c r="N31" s="49"/>
      <c r="O31" s="50" t="n">
        <f aca="false">IF(COUNT(C31:N31)=0,"",AVERAGE(C31:N31))</f>
        <v>35</v>
      </c>
      <c r="P31" s="24" t="str">
        <f aca="false">IF(COUNT(C31:N31)&lt;2,"—",IF(INDEX(C31:N31,COUNT(C31:N31))&gt;INDEX(C31:N31,COUNT(C31:N31)-1),"▲ Yükseliş",IF(INDEX(C31:N31,COUNT(C31:N31))&lt;INDEX(C31:N31,COUNT(C31:N31)-1),"▼ Düşüş","▬ Sabit")))</f>
        <v>—</v>
      </c>
    </row>
    <row r="32" customFormat="false" ht="15" hidden="false" customHeight="false" outlineLevel="0" collapsed="false">
      <c r="A32" s="18" t="n">
        <v>28</v>
      </c>
      <c r="B32" s="52" t="s">
        <v>234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50" t="str">
        <f aca="false">IF(COUNT(C32:N32)=0,"",AVERAGE(C32:N32))</f>
        <v/>
      </c>
      <c r="P32" s="24" t="str">
        <f aca="false">IF(COUNT(C32:N32)&lt;2,"—",IF(INDEX(C32:N32,COUNT(C32:N32))&gt;INDEX(C32:N32,COUNT(C32:N32)-1),"▲ Yükseliş",IF(INDEX(C32:N32,COUNT(C32:N32))&lt;INDEX(C32:N32,COUNT(C32:N32)-1),"▼ Düşüş","▬ Sabit")))</f>
        <v>—</v>
      </c>
    </row>
    <row r="33" customFormat="false" ht="15" hidden="false" customHeight="false" outlineLevel="0" collapsed="false">
      <c r="A33" s="18" t="n">
        <v>29</v>
      </c>
      <c r="B33" s="52" t="s">
        <v>235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50" t="str">
        <f aca="false">IF(COUNT(C33:N33)=0,"",AVERAGE(C33:N33))</f>
        <v/>
      </c>
      <c r="P33" s="24" t="str">
        <f aca="false">IF(COUNT(C33:N33)&lt;2,"—",IF(INDEX(C33:N33,COUNT(C33:N33))&gt;INDEX(C33:N33,COUNT(C33:N33)-1),"▲ Yükseliş",IF(INDEX(C33:N33,COUNT(C33:N33))&lt;INDEX(C33:N33,COUNT(C33:N33)-1),"▼ Düşüş","▬ Sabit")))</f>
        <v>—</v>
      </c>
    </row>
    <row r="34" customFormat="false" ht="15" hidden="false" customHeight="false" outlineLevel="0" collapsed="false">
      <c r="A34" s="18" t="n">
        <v>30</v>
      </c>
      <c r="B34" s="52" t="s">
        <v>236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50" t="str">
        <f aca="false">IF(COUNT(C34:N34)=0,"",AVERAGE(C34:N34))</f>
        <v/>
      </c>
      <c r="P34" s="24" t="str">
        <f aca="false">IF(COUNT(C34:N34)&lt;2,"—",IF(INDEX(C34:N34,COUNT(C34:N34))&gt;INDEX(C34:N34,COUNT(C34:N34)-1),"▲ Yükseliş",IF(INDEX(C34:N34,COUNT(C34:N34))&lt;INDEX(C34:N34,COUNT(C34:N34)-1),"▼ Düşüş","▬ Sabit")))</f>
        <v>—</v>
      </c>
    </row>
    <row r="35" customFormat="false" ht="15" hidden="false" customHeight="false" outlineLevel="0" collapsed="false">
      <c r="A35" s="18" t="n">
        <v>31</v>
      </c>
      <c r="B35" s="52" t="s">
        <v>237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50" t="str">
        <f aca="false">IF(COUNT(C35:N35)=0,"",AVERAGE(C35:N35))</f>
        <v/>
      </c>
      <c r="P35" s="24" t="str">
        <f aca="false">IF(COUNT(C35:N35)&lt;2,"—",IF(INDEX(C35:N35,COUNT(C35:N35))&gt;INDEX(C35:N35,COUNT(C35:N35)-1),"▲ Yükseliş",IF(INDEX(C35:N35,COUNT(C35:N35))&lt;INDEX(C35:N35,COUNT(C35:N35)-1),"▼ Düşüş","▬ Sabit")))</f>
        <v>—</v>
      </c>
    </row>
    <row r="36" customFormat="false" ht="15" hidden="false" customHeight="false" outlineLevel="0" collapsed="false">
      <c r="A36" s="18" t="n">
        <v>32</v>
      </c>
      <c r="B36" s="41" t="s">
        <v>239</v>
      </c>
      <c r="C36" s="49"/>
      <c r="D36" s="49"/>
      <c r="E36" s="49" t="n">
        <v>41.5</v>
      </c>
      <c r="F36" s="49"/>
      <c r="G36" s="49"/>
      <c r="H36" s="49"/>
      <c r="I36" s="49"/>
      <c r="J36" s="49"/>
      <c r="K36" s="49"/>
      <c r="L36" s="49"/>
      <c r="M36" s="49"/>
      <c r="N36" s="49"/>
      <c r="O36" s="50" t="n">
        <f aca="false">IF(COUNT(C36:N36)=0,"",AVERAGE(C36:N36))</f>
        <v>41.5</v>
      </c>
      <c r="P36" s="24" t="str">
        <f aca="false">IF(COUNT(C36:N36)&lt;2,"—",IF(INDEX(C36:N36,COUNT(C36:N36))&gt;INDEX(C36:N36,COUNT(C36:N36)-1),"▲ Yükseliş",IF(INDEX(C36:N36,COUNT(C36:N36))&lt;INDEX(C36:N36,COUNT(C36:N36)-1),"▼ Düşüş","▬ Sabit")))</f>
        <v>—</v>
      </c>
    </row>
    <row r="37" customFormat="false" ht="15" hidden="false" customHeight="false" outlineLevel="0" collapsed="false">
      <c r="A37" s="18" t="n">
        <v>33</v>
      </c>
      <c r="B37" s="41" t="s">
        <v>241</v>
      </c>
      <c r="C37" s="49"/>
      <c r="D37" s="49"/>
      <c r="E37" s="49" t="n">
        <v>46.5</v>
      </c>
      <c r="F37" s="49"/>
      <c r="G37" s="49"/>
      <c r="H37" s="49"/>
      <c r="I37" s="49"/>
      <c r="J37" s="49"/>
      <c r="K37" s="49"/>
      <c r="L37" s="49"/>
      <c r="M37" s="49"/>
      <c r="N37" s="49"/>
      <c r="O37" s="50" t="n">
        <f aca="false">IF(COUNT(C37:N37)=0,"",AVERAGE(C37:N37))</f>
        <v>46.5</v>
      </c>
      <c r="P37" s="24" t="str">
        <f aca="false">IF(COUNT(C37:N37)&lt;2,"—",IF(INDEX(C37:N37,COUNT(C37:N37))&gt;INDEX(C37:N37,COUNT(C37:N37)-1),"▲ Yükseliş",IF(INDEX(C37:N37,COUNT(C37:N37))&lt;INDEX(C37:N37,COUNT(C37:N37)-1),"▼ Düşüş","▬ Sabit")))</f>
        <v>—</v>
      </c>
    </row>
    <row r="38" customFormat="false" ht="15" hidden="false" customHeight="false" outlineLevel="0" collapsed="false">
      <c r="A38" s="18" t="n">
        <v>34</v>
      </c>
      <c r="B38" s="41" t="s">
        <v>243</v>
      </c>
      <c r="C38" s="49"/>
      <c r="D38" s="49"/>
      <c r="E38" s="49" t="n">
        <v>30</v>
      </c>
      <c r="F38" s="49"/>
      <c r="G38" s="49"/>
      <c r="H38" s="49"/>
      <c r="I38" s="49"/>
      <c r="J38" s="49"/>
      <c r="K38" s="49"/>
      <c r="L38" s="49"/>
      <c r="M38" s="49"/>
      <c r="N38" s="49"/>
      <c r="O38" s="50" t="n">
        <f aca="false">IF(COUNT(C38:N38)=0,"",AVERAGE(C38:N38))</f>
        <v>30</v>
      </c>
      <c r="P38" s="24" t="str">
        <f aca="false">IF(COUNT(C38:N38)&lt;2,"—",IF(INDEX(C38:N38,COUNT(C38:N38))&gt;INDEX(C38:N38,COUNT(C38:N38)-1),"▲ Yükseliş",IF(INDEX(C38:N38,COUNT(C38:N38))&lt;INDEX(C38:N38,COUNT(C38:N38)-1),"▼ Düşüş","▬ Sabit")))</f>
        <v>—</v>
      </c>
    </row>
    <row r="39" customFormat="false" ht="15" hidden="false" customHeight="false" outlineLevel="0" collapsed="false">
      <c r="A39" s="18" t="n">
        <v>35</v>
      </c>
      <c r="B39" s="53" t="s">
        <v>244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50" t="str">
        <f aca="false">IF(COUNT(C39:N39)=0,"",AVERAGE(C39:N39))</f>
        <v/>
      </c>
      <c r="P39" s="24" t="str">
        <f aca="false">IF(COUNT(C39:N39)&lt;2,"—",IF(INDEX(C39:N39,COUNT(C39:N39))&gt;INDEX(C39:N39,COUNT(C39:N39)-1),"▲ Yükseliş",IF(INDEX(C39:N39,COUNT(C39:N39))&lt;INDEX(C39:N39,COUNT(C39:N39)-1),"▼ Düşüş","▬ Sabit")))</f>
        <v>—</v>
      </c>
    </row>
    <row r="40" customFormat="false" ht="15" hidden="false" customHeight="false" outlineLevel="0" collapsed="false">
      <c r="A40" s="18" t="n">
        <v>36</v>
      </c>
      <c r="B40" s="53" t="s">
        <v>245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50" t="str">
        <f aca="false">IF(COUNT(C40:N40)=0,"",AVERAGE(C40:N40))</f>
        <v/>
      </c>
      <c r="P40" s="24" t="str">
        <f aca="false">IF(COUNT(C40:N40)&lt;2,"—",IF(INDEX(C40:N40,COUNT(C40:N40))&gt;INDEX(C40:N40,COUNT(C40:N40)-1),"▲ Yükseliş",IF(INDEX(C40:N40,COUNT(C40:N40))&lt;INDEX(C40:N40,COUNT(C40:N40)-1),"▼ Düşüş","▬ Sabit")))</f>
        <v>—</v>
      </c>
    </row>
    <row r="41" customFormat="false" ht="15" hidden="false" customHeight="false" outlineLevel="0" collapsed="false">
      <c r="A41" s="18" t="n">
        <v>37</v>
      </c>
      <c r="B41" s="53" t="s">
        <v>246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50" t="str">
        <f aca="false">IF(COUNT(C41:N41)=0,"",AVERAGE(C41:N41))</f>
        <v/>
      </c>
      <c r="P41" s="24" t="str">
        <f aca="false">IF(COUNT(C41:N41)&lt;2,"—",IF(INDEX(C41:N41,COUNT(C41:N41))&gt;INDEX(C41:N41,COUNT(C41:N41)-1),"▲ Yükseliş",IF(INDEX(C41:N41,COUNT(C41:N41))&lt;INDEX(C41:N41,COUNT(C41:N41)-1),"▼ Düşüş","▬ Sabit")))</f>
        <v>—</v>
      </c>
    </row>
    <row r="42" customFormat="false" ht="15" hidden="false" customHeight="false" outlineLevel="0" collapsed="false">
      <c r="A42" s="18" t="n">
        <v>38</v>
      </c>
      <c r="B42" s="53" t="s">
        <v>247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50" t="str">
        <f aca="false">IF(COUNT(C42:N42)=0,"",AVERAGE(C42:N42))</f>
        <v/>
      </c>
      <c r="P42" s="24" t="str">
        <f aca="false">IF(COUNT(C42:N42)&lt;2,"—",IF(INDEX(C42:N42,COUNT(C42:N42))&gt;INDEX(C42:N42,COUNT(C42:N42)-1),"▲ Yükseliş",IF(INDEX(C42:N42,COUNT(C42:N42))&lt;INDEX(C42:N42,COUNT(C42:N42)-1),"▼ Düşüş","▬ Sabit")))</f>
        <v>—</v>
      </c>
    </row>
    <row r="43" customFormat="false" ht="15" hidden="false" customHeight="false" outlineLevel="0" collapsed="false">
      <c r="A43" s="18" t="n">
        <v>39</v>
      </c>
      <c r="B43" s="53" t="s">
        <v>248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50" t="str">
        <f aca="false">IF(COUNT(C43:N43)=0,"",AVERAGE(C43:N43))</f>
        <v/>
      </c>
      <c r="P43" s="24" t="str">
        <f aca="false">IF(COUNT(C43:N43)&lt;2,"—",IF(INDEX(C43:N43,COUNT(C43:N43))&gt;INDEX(C43:N43,COUNT(C43:N43)-1),"▲ Yükseliş",IF(INDEX(C43:N43,COUNT(C43:N43))&lt;INDEX(C43:N43,COUNT(C43:N43)-1),"▼ Düşüş","▬ Sabit")))</f>
        <v>—</v>
      </c>
    </row>
    <row r="44" customFormat="false" ht="15" hidden="false" customHeight="false" outlineLevel="0" collapsed="false">
      <c r="A44" s="54"/>
      <c r="B44" s="19" t="s">
        <v>268</v>
      </c>
      <c r="C44" s="55" t="str">
        <f aca="false">IF(COUNT(C5:C43)=0,"",AVERAGE(C5:C43))</f>
        <v/>
      </c>
      <c r="D44" s="55" t="str">
        <f aca="false">IF(COUNT(D5:D43)=0,"",AVERAGE(D5:D43))</f>
        <v/>
      </c>
      <c r="E44" s="55" t="n">
        <f aca="false">IF(COUNT(E5:E43)=0,"",AVERAGE(E5:E43))</f>
        <v>42.3888888888889</v>
      </c>
      <c r="F44" s="55" t="str">
        <f aca="false">IF(COUNT(F5:F43)=0,"",AVERAGE(F5:F43))</f>
        <v/>
      </c>
      <c r="G44" s="55" t="str">
        <f aca="false">IF(COUNT(G5:G43)=0,"",AVERAGE(G5:G43))</f>
        <v/>
      </c>
      <c r="H44" s="55" t="str">
        <f aca="false">IF(COUNT(H5:H43)=0,"",AVERAGE(H5:H43))</f>
        <v/>
      </c>
      <c r="I44" s="55" t="str">
        <f aca="false">IF(COUNT(I5:I43)=0,"",AVERAGE(I5:I43))</f>
        <v/>
      </c>
      <c r="J44" s="55" t="str">
        <f aca="false">IF(COUNT(J5:J43)=0,"",AVERAGE(J5:J43))</f>
        <v/>
      </c>
      <c r="K44" s="55" t="str">
        <f aca="false">IF(COUNT(K5:K43)=0,"",AVERAGE(K5:K43))</f>
        <v/>
      </c>
      <c r="L44" s="55" t="str">
        <f aca="false">IF(COUNT(L5:L43)=0,"",AVERAGE(L5:L43))</f>
        <v/>
      </c>
      <c r="M44" s="55" t="str">
        <f aca="false">IF(COUNT(M5:M43)=0,"",AVERAGE(M5:M43))</f>
        <v/>
      </c>
      <c r="N44" s="55" t="str">
        <f aca="false">IF(COUNT(N5:N43)=0,"",AVERAGE(N5:N43))</f>
        <v/>
      </c>
      <c r="O44" s="54"/>
      <c r="P44" s="54"/>
    </row>
    <row r="46" customFormat="false" ht="30" hidden="false" customHeight="true" outlineLevel="0" collapsed="false">
      <c r="A46" s="13" t="s">
        <v>269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</sheetData>
  <mergeCells count="2">
    <mergeCell ref="A1:P1"/>
    <mergeCell ref="A46:P46"/>
  </mergeCells>
  <conditionalFormatting sqref="C5:N43">
    <cfRule type="colorScale" priority="2">
      <colorScale>
        <cfvo type="num" val="0"/>
        <cfvo type="num" val="45"/>
        <cfvo type="num" val="8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4"/>
    <col collapsed="false" customWidth="true" hidden="false" outlineLevel="0" max="9" min="9" style="0" width="34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32"/>
    <col collapsed="false" customWidth="true" hidden="false" outlineLevel="0" max="16" min="14" style="0" width="10"/>
  </cols>
  <sheetData>
    <row r="1" customFormat="false" ht="25.5" hidden="false" customHeight="true" outlineLevel="0" collapsed="false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B2" s="26" t="s">
        <v>271</v>
      </c>
      <c r="E2" s="21" t="n">
        <v>3</v>
      </c>
      <c r="F2" s="28" t="s">
        <v>272</v>
      </c>
    </row>
    <row r="4" customFormat="false" ht="27.75" hidden="false" customHeight="true" outlineLevel="0" collapsed="false">
      <c r="B4" s="56" t="s">
        <v>273</v>
      </c>
      <c r="C4" s="56"/>
      <c r="D4" s="56" t="s">
        <v>274</v>
      </c>
      <c r="E4" s="56"/>
      <c r="F4" s="56" t="s">
        <v>275</v>
      </c>
      <c r="G4" s="56"/>
      <c r="H4" s="56" t="s">
        <v>276</v>
      </c>
      <c r="I4" s="56"/>
      <c r="J4" s="56" t="s">
        <v>277</v>
      </c>
      <c r="K4" s="56"/>
      <c r="L4" s="56" t="s">
        <v>278</v>
      </c>
      <c r="M4" s="56"/>
      <c r="N4" s="56" t="s">
        <v>279</v>
      </c>
      <c r="O4" s="56"/>
    </row>
    <row r="5" customFormat="false" ht="31.5" hidden="false" customHeight="true" outlineLevel="0" collapsed="false">
      <c r="B5" s="57" t="n">
        <f aca="false">COUNTA('3 VERI GIRISI'!$C$6:$C$44)</f>
        <v>39</v>
      </c>
      <c r="C5" s="57"/>
      <c r="D5" s="57" t="n">
        <f aca="false">COUNTIF('3 VERI GIRISI'!$D$6:$D$44,"Evet")</f>
        <v>9</v>
      </c>
      <c r="E5" s="57"/>
      <c r="F5" s="58" t="n">
        <f aca="false">IFERROR(COUNTIF('3 VERI GIRISI'!$D$6:$D$44,"Evet")/COUNTA('3 VERI GIRISI'!$C$6:$C$44),0)</f>
        <v>0.230769230769231</v>
      </c>
      <c r="G5" s="58"/>
      <c r="H5" s="59" t="n">
        <f aca="false">'3 VERI GIRISI'!$AC$45</f>
        <v>42.3888888888889</v>
      </c>
      <c r="I5" s="59"/>
      <c r="J5" s="59" t="n">
        <f aca="false">IFERROR(LARGE('3 VERI GIRISI'!$AC$6:$AC$44,1),0)</f>
        <v>63</v>
      </c>
      <c r="K5" s="59"/>
      <c r="L5" s="59" t="n">
        <f aca="false">IFERROR(LARGE('3 VERI GIRISI'!$AC$6:$AC$44,COUNTIF('3 VERI GIRISI'!$D$6:$D$44,"Evet")),0)</f>
        <v>30</v>
      </c>
      <c r="M5" s="59"/>
      <c r="N5" s="57" t="n">
        <f aca="false">COUNTIFS('3 VERI GIRISI'!$D$6:$D$44,"Evet",'3 VERI GIRISI'!$O$6:$O$44,"Yapılmadı")</f>
        <v>9</v>
      </c>
      <c r="O5" s="57"/>
    </row>
    <row r="8" customFormat="false" ht="15" hidden="false" customHeight="false" outlineLevel="0" collapsed="false">
      <c r="B8" s="8" t="s">
        <v>280</v>
      </c>
      <c r="I8" s="8" t="s">
        <v>281</v>
      </c>
    </row>
    <row r="9" customFormat="false" ht="33.7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 t="s">
        <v>110</v>
      </c>
      <c r="J9" s="9" t="s">
        <v>282</v>
      </c>
      <c r="K9" s="9" t="s">
        <v>116</v>
      </c>
      <c r="L9" s="9" t="s">
        <v>283</v>
      </c>
      <c r="M9" s="9" t="s">
        <v>284</v>
      </c>
      <c r="N9" s="9"/>
      <c r="O9" s="9"/>
      <c r="P9" s="9"/>
    </row>
    <row r="10" customFormat="false" ht="15" hidden="false" customHeight="false" outlineLevel="0" collapsed="false">
      <c r="A10" s="24" t="n">
        <v>1</v>
      </c>
      <c r="B10" s="60" t="str">
        <f aca="false">IFERROR(INDEX('3 VERI GIRISI'!$C$6:$C$44,MATCH(LARGE('3 VERI GIRISI'!$AE$6:$AE$44,1),'3 VERI GIRISI'!$AE$6:$AE$44,0)),"")</f>
        <v>Bahçelievler</v>
      </c>
      <c r="C10" s="61" t="n">
        <f aca="false">IFERROR(INDEX('3 VERI GIRISI'!$AC$6:$AC$44,MATCH(LARGE('3 VERI GIRISI'!$AE$6:$AE$44,1),'3 VERI GIRISI'!$AE$6:$AE$44,0)),"")</f>
        <v>63</v>
      </c>
      <c r="D10" s="62" t="str">
        <f aca="false">IFERROR(INDEX('3 VERI GIRISI'!$AD$6:$AD$44,MATCH(LARGE('3 VERI GIRISI'!$AE$6:$AE$44,1),'3 VERI GIRISI'!$AE$6:$AE$44,0)),"")</f>
        <v>B</v>
      </c>
      <c r="E10" s="63" t="str">
        <f aca="false">IF(OR($B10="",$E$2&lt;2),"",IF(IFERROR(INDEX('4 AYLIK ARSIV'!$C$5:$N$43,MATCH($B10,'4 AYLIK ARSIV'!$B$5:$B$43,0),$E$2-1),0)=0,"",INDEX('4 AYLIK ARSIV'!$C$5:$N$43,MATCH($B10,'4 AYLIK ARSIV'!$B$5:$B$43,0),$E$2-1)))</f>
        <v/>
      </c>
      <c r="F10" s="64" t="str">
        <f aca="false">IF(OR($C10="",$E10=""),"",$C10-$E10)</f>
        <v/>
      </c>
      <c r="G10" s="38" t="str">
        <f aca="false">IF($F10="","—",IF($F10&gt;0,"▲",IF($F10&lt;0,"▼","▬")))</f>
        <v>—</v>
      </c>
      <c r="I10" s="65" t="str">
        <f aca="false">'1 AYAR'!B4</f>
        <v>İlçe Yönetim Kurulu kişi sayısı</v>
      </c>
      <c r="J10" s="50" t="n">
        <f aca="false">IFERROR(SUMIF('3 VERI GIRISI'!$D$6:$D$44,"Evet",'3 VERI GIRISI'!F$6:F$44)/COUNTIF('3 VERI GIRISI'!$D$6:$D$44,"Evet"),0)</f>
        <v>10.7777777777778</v>
      </c>
      <c r="K10" s="18" t="n">
        <f aca="false">'1 AYAR'!E4</f>
        <v>20</v>
      </c>
      <c r="L10" s="66" t="n">
        <f aca="false">IFERROR(J10/K10,0)</f>
        <v>0.538888888888889</v>
      </c>
      <c r="M10" s="65" t="str">
        <f aca="false">IF(L10&lt;0.25,"🔴 ÇÖKMÜŞ — il seviyesinde seferberlik",IF(L10&lt;0.5,"🟠 ZAYIF — bu ayın hedefi buradan seçilsin",IF(L10&lt;0.75,"🟡 ORTA","🟢 İYİ")))</f>
        <v>🟡 ORTA</v>
      </c>
    </row>
    <row r="11" customFormat="false" ht="15" hidden="false" customHeight="false" outlineLevel="0" collapsed="false">
      <c r="A11" s="24" t="n">
        <v>2</v>
      </c>
      <c r="B11" s="60" t="str">
        <f aca="false">IFERROR(INDEX('3 VERI GIRISI'!$C$6:$C$44,MATCH(LARGE('3 VERI GIRISI'!$AE$6:$AE$44,2),'3 VERI GIRISI'!$AE$6:$AE$44,0)),"")</f>
        <v>Esenler</v>
      </c>
      <c r="C11" s="61" t="n">
        <f aca="false">IFERROR(INDEX('3 VERI GIRISI'!$AC$6:$AC$44,MATCH(LARGE('3 VERI GIRISI'!$AE$6:$AE$44,2),'3 VERI GIRISI'!$AE$6:$AE$44,0)),"")</f>
        <v>58</v>
      </c>
      <c r="D11" s="62" t="str">
        <f aca="false">IFERROR(INDEX('3 VERI GIRISI'!$AD$6:$AD$44,MATCH(LARGE('3 VERI GIRISI'!$AE$6:$AE$44,2),'3 VERI GIRISI'!$AE$6:$AE$44,0)),"")</f>
        <v>B</v>
      </c>
      <c r="E11" s="63" t="str">
        <f aca="false">IF(OR($B11="",$E$2&lt;2),"",IF(IFERROR(INDEX('4 AYLIK ARSIV'!$C$5:$N$43,MATCH($B11,'4 AYLIK ARSIV'!$B$5:$B$43,0),$E$2-1),0)=0,"",INDEX('4 AYLIK ARSIV'!$C$5:$N$43,MATCH($B11,'4 AYLIK ARSIV'!$B$5:$B$43,0),$E$2-1)))</f>
        <v/>
      </c>
      <c r="F11" s="64" t="str">
        <f aca="false">IF(OR($C11="",$E11=""),"",$C11-$E11)</f>
        <v/>
      </c>
      <c r="G11" s="38" t="str">
        <f aca="false">IF($F11="","—",IF($F11&gt;0,"▲",IF($F11&lt;0,"▼","▬")))</f>
        <v>—</v>
      </c>
      <c r="I11" s="65" t="str">
        <f aca="false">'1 AYAR'!B5</f>
        <v>Aylık yapılan YK toplantı sayısı</v>
      </c>
      <c r="J11" s="50" t="n">
        <f aca="false">IFERROR(SUMIF('3 VERI GIRISI'!$D$6:$D$44,"Evet",'3 VERI GIRISI'!H$6:H$44)/COUNTIF('3 VERI GIRISI'!$D$6:$D$44,"Evet"),0)</f>
        <v>9.16666666666667</v>
      </c>
      <c r="K11" s="18" t="n">
        <f aca="false">'1 AYAR'!E5</f>
        <v>10</v>
      </c>
      <c r="L11" s="66" t="n">
        <f aca="false">IFERROR(J11/K11,0)</f>
        <v>0.916666666666667</v>
      </c>
      <c r="M11" s="65" t="str">
        <f aca="false">IF(L11&lt;0.25,"🔴 ÇÖKMÜŞ — il seviyesinde seferberlik",IF(L11&lt;0.5,"🟠 ZAYIF — bu ayın hedefi buradan seçilsin",IF(L11&lt;0.75,"🟡 ORTA","🟢 İYİ")))</f>
        <v>🟢 İYİ</v>
      </c>
    </row>
    <row r="12" customFormat="false" ht="15" hidden="false" customHeight="false" outlineLevel="0" collapsed="false">
      <c r="A12" s="24" t="n">
        <v>3</v>
      </c>
      <c r="B12" s="60" t="str">
        <f aca="false">IFERROR(INDEX('3 VERI GIRISI'!$C$6:$C$44,MATCH(LARGE('3 VERI GIRISI'!$AE$6:$AE$44,3),'3 VERI GIRISI'!$AE$6:$AE$44,0)),"")</f>
        <v>Kartal</v>
      </c>
      <c r="C12" s="61" t="n">
        <f aca="false">IFERROR(INDEX('3 VERI GIRISI'!$AC$6:$AC$44,MATCH(LARGE('3 VERI GIRISI'!$AE$6:$AE$44,3),'3 VERI GIRISI'!$AE$6:$AE$44,0)),"")</f>
        <v>46.5</v>
      </c>
      <c r="D12" s="62" t="str">
        <f aca="false">IFERROR(INDEX('3 VERI GIRISI'!$AD$6:$AD$44,MATCH(LARGE('3 VERI GIRISI'!$AE$6:$AE$44,3),'3 VERI GIRISI'!$AE$6:$AE$44,0)),"")</f>
        <v>C</v>
      </c>
      <c r="E12" s="63" t="str">
        <f aca="false">IF(OR($B12="",$E$2&lt;2),"",IF(IFERROR(INDEX('4 AYLIK ARSIV'!$C$5:$N$43,MATCH($B12,'4 AYLIK ARSIV'!$B$5:$B$43,0),$E$2-1),0)=0,"",INDEX('4 AYLIK ARSIV'!$C$5:$N$43,MATCH($B12,'4 AYLIK ARSIV'!$B$5:$B$43,0),$E$2-1)))</f>
        <v/>
      </c>
      <c r="F12" s="64" t="str">
        <f aca="false">IF(OR($C12="",$E12=""),"",$C12-$E12)</f>
        <v/>
      </c>
      <c r="G12" s="38" t="str">
        <f aca="false">IF($F12="","—",IF($F12&gt;0,"▲",IF($F12&lt;0,"▼","▬")))</f>
        <v>—</v>
      </c>
      <c r="I12" s="65" t="str">
        <f aca="false">'1 AYAR'!B6</f>
        <v>İlçenin kendine ait temsilcilik merkezi var mı?</v>
      </c>
      <c r="J12" s="50" t="n">
        <f aca="false">IFERROR(SUMIF('3 VERI GIRISI'!$D$6:$D$44,"Evet",'3 VERI GIRISI'!J$6:J$44)/COUNTIF('3 VERI GIRISI'!$D$6:$D$44,"Evet"),0)</f>
        <v>3.88888888888889</v>
      </c>
      <c r="K12" s="18" t="n">
        <f aca="false">'1 AYAR'!E6</f>
        <v>5</v>
      </c>
      <c r="L12" s="66" t="n">
        <f aca="false">IFERROR(J12/K12,0)</f>
        <v>0.777777777777778</v>
      </c>
      <c r="M12" s="65" t="str">
        <f aca="false">IF(L12&lt;0.25,"🔴 ÇÖKMÜŞ — il seviyesinde seferberlik",IF(L12&lt;0.5,"🟠 ZAYIF — bu ayın hedefi buradan seçilsin",IF(L12&lt;0.75,"🟡 ORTA","🟢 İYİ")))</f>
        <v>🟢 İYİ</v>
      </c>
    </row>
    <row r="13" customFormat="false" ht="22.35" hidden="false" customHeight="false" outlineLevel="0" collapsed="false">
      <c r="A13" s="24" t="n">
        <v>4</v>
      </c>
      <c r="B13" s="60" t="str">
        <f aca="false">IFERROR(INDEX('3 VERI GIRISI'!$C$6:$C$44,MATCH(LARGE('3 VERI GIRISI'!$AE$6:$AE$44,4),'3 VERI GIRISI'!$AE$6:$AE$44,0)),"")</f>
        <v>Kadıköy</v>
      </c>
      <c r="C13" s="61" t="n">
        <f aca="false">IFERROR(INDEX('3 VERI GIRISI'!$AC$6:$AC$44,MATCH(LARGE('3 VERI GIRISI'!$AE$6:$AE$44,4),'3 VERI GIRISI'!$AE$6:$AE$44,0)),"")</f>
        <v>41.5</v>
      </c>
      <c r="D13" s="62" t="str">
        <f aca="false">IFERROR(INDEX('3 VERI GIRISI'!$AD$6:$AD$44,MATCH(LARGE('3 VERI GIRISI'!$AE$6:$AE$44,4),'3 VERI GIRISI'!$AE$6:$AE$44,0)),"")</f>
        <v>C</v>
      </c>
      <c r="E13" s="63" t="str">
        <f aca="false">IF(OR($B13="",$E$2&lt;2),"",IF(IFERROR(INDEX('4 AYLIK ARSIV'!$C$5:$N$43,MATCH($B13,'4 AYLIK ARSIV'!$B$5:$B$43,0),$E$2-1),0)=0,"",INDEX('4 AYLIK ARSIV'!$C$5:$N$43,MATCH($B13,'4 AYLIK ARSIV'!$B$5:$B$43,0),$E$2-1)))</f>
        <v/>
      </c>
      <c r="F13" s="64" t="str">
        <f aca="false">IF(OR($C13="",$E13=""),"",$C13-$E13)</f>
        <v/>
      </c>
      <c r="G13" s="38" t="str">
        <f aca="false">IF($F13="","—",IF($F13&gt;0,"▲",IF($F13&lt;0,"▼","▬")))</f>
        <v>—</v>
      </c>
      <c r="I13" s="65" t="str">
        <f aca="false">'1 AYAR'!B7</f>
        <v>Yed-i Hilal Meclisi kişi sayısı</v>
      </c>
      <c r="J13" s="50" t="n">
        <f aca="false">IFERROR(SUMIF('3 VERI GIRISI'!$D$6:$D$44,"Evet",'3 VERI GIRISI'!L$6:L$44)/COUNTIF('3 VERI GIRISI'!$D$6:$D$44,"Evet"),0)</f>
        <v>4.33333333333333</v>
      </c>
      <c r="K13" s="18" t="n">
        <f aca="false">'1 AYAR'!E7</f>
        <v>10</v>
      </c>
      <c r="L13" s="66" t="n">
        <f aca="false">IFERROR(J13/K13,0)</f>
        <v>0.433333333333333</v>
      </c>
      <c r="M13" s="65" t="str">
        <f aca="false">IF(L13&lt;0.25,"🔴 ÇÖKMÜŞ — il seviyesinde seferberlik",IF(L13&lt;0.5,"🟠 ZAYIF — bu ayın hedefi buradan seçilsin",IF(L13&lt;0.75,"🟡 ORTA","🟢 İYİ")))</f>
        <v>🟠 ZAYIF — bu ayın hedefi buradan seçilsin</v>
      </c>
    </row>
    <row r="14" customFormat="false" ht="15" hidden="false" customHeight="false" outlineLevel="0" collapsed="false">
      <c r="A14" s="24" t="n">
        <v>5</v>
      </c>
      <c r="B14" s="60" t="str">
        <f aca="false">IFERROR(INDEX('3 VERI GIRISI'!$C$6:$C$44,MATCH(LARGE('3 VERI GIRISI'!$AE$6:$AE$44,5),'3 VERI GIRISI'!$AE$6:$AE$44,0)),"")</f>
        <v>Kağıthane</v>
      </c>
      <c r="C14" s="61" t="n">
        <f aca="false">IFERROR(INDEX('3 VERI GIRISI'!$AC$6:$AC$44,MATCH(LARGE('3 VERI GIRISI'!$AE$6:$AE$44,5),'3 VERI GIRISI'!$AE$6:$AE$44,0)),"")</f>
        <v>39</v>
      </c>
      <c r="D14" s="62" t="str">
        <f aca="false">IFERROR(INDEX('3 VERI GIRISI'!$AD$6:$AD$44,MATCH(LARGE('3 VERI GIRISI'!$AE$6:$AE$44,5),'3 VERI GIRISI'!$AE$6:$AE$44,0)),"")</f>
        <v>C</v>
      </c>
      <c r="E14" s="63" t="str">
        <f aca="false">IF(OR($B14="",$E$2&lt;2),"",IF(IFERROR(INDEX('4 AYLIK ARSIV'!$C$5:$N$43,MATCH($B14,'4 AYLIK ARSIV'!$B$5:$B$43,0),$E$2-1),0)=0,"",INDEX('4 AYLIK ARSIV'!$C$5:$N$43,MATCH($B14,'4 AYLIK ARSIV'!$B$5:$B$43,0),$E$2-1)))</f>
        <v/>
      </c>
      <c r="F14" s="64" t="str">
        <f aca="false">IF(OR($C14="",$E14=""),"",$C14-$E14)</f>
        <v/>
      </c>
      <c r="G14" s="38" t="str">
        <f aca="false">IF($F14="","—",IF($F14&gt;0,"▲",IF($F14&lt;0,"▼","▬")))</f>
        <v>—</v>
      </c>
      <c r="I14" s="65" t="str">
        <f aca="false">'1 AYAR'!B8</f>
        <v>Yeni gönüllü çalışması katılım sayısı</v>
      </c>
      <c r="J14" s="50" t="n">
        <f aca="false">IFERROR(SUMIF('3 VERI GIRISI'!$D$6:$D$44,"Evet",'3 VERI GIRISI'!N$6:N$44)/COUNTIF('3 VERI GIRISI'!$D$6:$D$44,"Evet"),0)</f>
        <v>2.11111111111111</v>
      </c>
      <c r="K14" s="18" t="n">
        <f aca="false">'1 AYAR'!E8</f>
        <v>10</v>
      </c>
      <c r="L14" s="66" t="n">
        <f aca="false">IFERROR(J14/K14,0)</f>
        <v>0.211111111111111</v>
      </c>
      <c r="M14" s="65" t="str">
        <f aca="false">IF(L14&lt;0.25,"🔴 ÇÖKMÜŞ — il seviyesinde seferberlik",IF(L14&lt;0.5,"🟠 ZAYIF — bu ayın hedefi buradan seçilsin",IF(L14&lt;0.75,"🟡 ORTA","🟢 İYİ")))</f>
        <v>🔴 ÇÖKMÜŞ — il seviyesinde seferberlik</v>
      </c>
    </row>
    <row r="15" customFormat="false" ht="15" hidden="false" customHeight="false" outlineLevel="0" collapsed="false">
      <c r="A15" s="24" t="n">
        <v>6</v>
      </c>
      <c r="B15" s="60" t="str">
        <f aca="false">IFERROR(INDEX('3 VERI GIRISI'!$C$6:$C$44,MATCH(LARGE('3 VERI GIRISI'!$AE$6:$AE$44,6),'3 VERI GIRISI'!$AE$6:$AE$44,0)),"")</f>
        <v>Bağcılar</v>
      </c>
      <c r="C15" s="61" t="n">
        <f aca="false">IFERROR(INDEX('3 VERI GIRISI'!$AC$6:$AC$44,MATCH(LARGE('3 VERI GIRISI'!$AE$6:$AE$44,6),'3 VERI GIRISI'!$AE$6:$AE$44,0)),"")</f>
        <v>36</v>
      </c>
      <c r="D15" s="62" t="str">
        <f aca="false">IFERROR(INDEX('3 VERI GIRISI'!$AD$6:$AD$44,MATCH(LARGE('3 VERI GIRISI'!$AE$6:$AE$44,6),'3 VERI GIRISI'!$AE$6:$AE$44,0)),"")</f>
        <v>C</v>
      </c>
      <c r="E15" s="63" t="str">
        <f aca="false">IF(OR($B15="",$E$2&lt;2),"",IF(IFERROR(INDEX('4 AYLIK ARSIV'!$C$5:$N$43,MATCH($B15,'4 AYLIK ARSIV'!$B$5:$B$43,0),$E$2-1),0)=0,"",INDEX('4 AYLIK ARSIV'!$C$5:$N$43,MATCH($B15,'4 AYLIK ARSIV'!$B$5:$B$43,0),$E$2-1)))</f>
        <v/>
      </c>
      <c r="F15" s="64" t="str">
        <f aca="false">IF(OR($C15="",$E15=""),"",$C15-$E15)</f>
        <v/>
      </c>
      <c r="G15" s="38" t="str">
        <f aca="false">IF($F15="","—",IF($F15&gt;0,"▲",IF($F15&lt;0,"▼","▬")))</f>
        <v>—</v>
      </c>
      <c r="I15" s="65" t="str">
        <f aca="false">'1 AYAR'!B9</f>
        <v>«Yatsıya Kadar» programı yapıldı mı?</v>
      </c>
      <c r="J15" s="50" t="n">
        <f aca="false">IFERROR(SUMIF('3 VERI GIRISI'!$D$6:$D$44,"Evet",'3 VERI GIRISI'!P$6:P$44)/COUNTIF('3 VERI GIRISI'!$D$6:$D$44,"Evet"),0)</f>
        <v>0</v>
      </c>
      <c r="K15" s="18" t="n">
        <f aca="false">'1 AYAR'!E9</f>
        <v>10</v>
      </c>
      <c r="L15" s="66" t="n">
        <f aca="false">IFERROR(J15/K15,0)</f>
        <v>0</v>
      </c>
      <c r="M15" s="65" t="str">
        <f aca="false">IF(L15&lt;0.25,"🔴 ÇÖKMÜŞ — il seviyesinde seferberlik",IF(L15&lt;0.5,"🟠 ZAYIF — bu ayın hedefi buradan seçilsin",IF(L15&lt;0.75,"🟡 ORTA","🟢 İYİ")))</f>
        <v>🔴 ÇÖKMÜŞ — il seviyesinde seferberlik</v>
      </c>
    </row>
    <row r="16" customFormat="false" ht="22.35" hidden="false" customHeight="false" outlineLevel="0" collapsed="false">
      <c r="A16" s="24" t="n">
        <v>7</v>
      </c>
      <c r="B16" s="60" t="str">
        <f aca="false">IFERROR(INDEX('3 VERI GIRISI'!$C$6:$C$44,MATCH(LARGE('3 VERI GIRISI'!$AE$6:$AE$44,7),'3 VERI GIRISI'!$AE$6:$AE$44,0)),"")</f>
        <v>Ümraniye</v>
      </c>
      <c r="C16" s="61" t="n">
        <f aca="false">IFERROR(INDEX('3 VERI GIRISI'!$AC$6:$AC$44,MATCH(LARGE('3 VERI GIRISI'!$AE$6:$AE$44,7),'3 VERI GIRISI'!$AE$6:$AE$44,0)),"")</f>
        <v>35</v>
      </c>
      <c r="D16" s="62" t="str">
        <f aca="false">IFERROR(INDEX('3 VERI GIRISI'!$AD$6:$AD$44,MATCH(LARGE('3 VERI GIRISI'!$AE$6:$AE$44,7),'3 VERI GIRISI'!$AE$6:$AE$44,0)),"")</f>
        <v>C</v>
      </c>
      <c r="E16" s="63" t="str">
        <f aca="false">IF(OR($B16="",$E$2&lt;2),"",IF(IFERROR(INDEX('4 AYLIK ARSIV'!$C$5:$N$43,MATCH($B16,'4 AYLIK ARSIV'!$B$5:$B$43,0),$E$2-1),0)=0,"",INDEX('4 AYLIK ARSIV'!$C$5:$N$43,MATCH($B16,'4 AYLIK ARSIV'!$B$5:$B$43,0),$E$2-1)))</f>
        <v/>
      </c>
      <c r="F16" s="64" t="str">
        <f aca="false">IF(OR($C16="",$E16=""),"",$C16-$E16)</f>
        <v/>
      </c>
      <c r="G16" s="38" t="str">
        <f aca="false">IF($F16="","—",IF($F16&gt;0,"▲",IF($F16&lt;0,"▼","▬")))</f>
        <v>—</v>
      </c>
      <c r="I16" s="65" t="str">
        <f aca="false">'1 AYAR'!B10</f>
        <v>Sabah Namazı Buluşması yapıldı mı?</v>
      </c>
      <c r="J16" s="50" t="n">
        <f aca="false">IFERROR(SUMIF('3 VERI GIRISI'!$D$6:$D$44,"Evet",'3 VERI GIRISI'!R$6:R$44)/COUNTIF('3 VERI GIRISI'!$D$6:$D$44,"Evet"),0)</f>
        <v>4.44444444444445</v>
      </c>
      <c r="K16" s="18" t="n">
        <f aca="false">'1 AYAR'!E10</f>
        <v>10</v>
      </c>
      <c r="L16" s="66" t="n">
        <f aca="false">IFERROR(J16/K16,0)</f>
        <v>0.444444444444445</v>
      </c>
      <c r="M16" s="65" t="str">
        <f aca="false">IF(L16&lt;0.25,"🔴 ÇÖKMÜŞ — il seviyesinde seferberlik",IF(L16&lt;0.5,"🟠 ZAYIF — bu ayın hedefi buradan seçilsin",IF(L16&lt;0.75,"🟡 ORTA","🟢 İYİ")))</f>
        <v>🟠 ZAYIF — bu ayın hedefi buradan seçilsin</v>
      </c>
    </row>
    <row r="17" customFormat="false" ht="15" hidden="false" customHeight="false" outlineLevel="0" collapsed="false">
      <c r="A17" s="24" t="n">
        <v>8</v>
      </c>
      <c r="B17" s="60" t="str">
        <f aca="false">IFERROR(INDEX('3 VERI GIRISI'!$C$6:$C$44,MATCH(LARGE('3 VERI GIRISI'!$AE$6:$AE$44,8),'3 VERI GIRISI'!$AE$6:$AE$44,0)),"")</f>
        <v>Üsküdar (Kirazlıtepe)</v>
      </c>
      <c r="C17" s="61" t="n">
        <f aca="false">IFERROR(INDEX('3 VERI GIRISI'!$AC$6:$AC$44,MATCH(LARGE('3 VERI GIRISI'!$AE$6:$AE$44,8),'3 VERI GIRISI'!$AE$6:$AE$44,0)),"")</f>
        <v>32.5</v>
      </c>
      <c r="D17" s="62" t="str">
        <f aca="false">IFERROR(INDEX('3 VERI GIRISI'!$AD$6:$AD$44,MATCH(LARGE('3 VERI GIRISI'!$AE$6:$AE$44,8),'3 VERI GIRISI'!$AE$6:$AE$44,0)),"")</f>
        <v>D</v>
      </c>
      <c r="E17" s="63" t="str">
        <f aca="false">IF(OR($B17="",$E$2&lt;2),"",IF(IFERROR(INDEX('4 AYLIK ARSIV'!$C$5:$N$43,MATCH($B17,'4 AYLIK ARSIV'!$B$5:$B$43,0),$E$2-1),0)=0,"",INDEX('4 AYLIK ARSIV'!$C$5:$N$43,MATCH($B17,'4 AYLIK ARSIV'!$B$5:$B$43,0),$E$2-1)))</f>
        <v/>
      </c>
      <c r="F17" s="64" t="str">
        <f aca="false">IF(OR($C17="",$E17=""),"",$C17-$E17)</f>
        <v/>
      </c>
      <c r="G17" s="38" t="str">
        <f aca="false">IF($F17="","—",IF($F17&gt;0,"▲",IF($F17&lt;0,"▼","▬")))</f>
        <v>—</v>
      </c>
      <c r="I17" s="65" t="str">
        <f aca="false">'1 AYAR'!B11</f>
        <v>Ortaokul ziyareti (kaç okula?)</v>
      </c>
      <c r="J17" s="50" t="n">
        <f aca="false">IFERROR(SUMIF('3 VERI GIRISI'!$D$6:$D$44,"Evet",'3 VERI GIRISI'!T$6:T$44)/COUNTIF('3 VERI GIRISI'!$D$6:$D$44,"Evet"),0)</f>
        <v>0.666666666666667</v>
      </c>
      <c r="K17" s="18" t="n">
        <f aca="false">'1 AYAR'!E11</f>
        <v>5</v>
      </c>
      <c r="L17" s="66" t="n">
        <f aca="false">IFERROR(J17/K17,0)</f>
        <v>0.133333333333333</v>
      </c>
      <c r="M17" s="65" t="str">
        <f aca="false">IF(L17&lt;0.25,"🔴 ÇÖKMÜŞ — il seviyesinde seferberlik",IF(L17&lt;0.5,"🟠 ZAYIF — bu ayın hedefi buradan seçilsin",IF(L17&lt;0.75,"🟡 ORTA","🟢 İYİ")))</f>
        <v>🔴 ÇÖKMÜŞ — il seviyesinde seferberlik</v>
      </c>
    </row>
    <row r="18" customFormat="false" ht="15" hidden="false" customHeight="false" outlineLevel="0" collapsed="false">
      <c r="A18" s="24" t="n">
        <v>9</v>
      </c>
      <c r="B18" s="60" t="str">
        <f aca="false">IFERROR(INDEX('3 VERI GIRISI'!$C$6:$C$44,MATCH(LARGE('3 VERI GIRISI'!$AE$6:$AE$44,9),'3 VERI GIRISI'!$AE$6:$AE$44,0)),"")</f>
        <v>Pendik</v>
      </c>
      <c r="C18" s="61" t="n">
        <f aca="false">IFERROR(INDEX('3 VERI GIRISI'!$AC$6:$AC$44,MATCH(LARGE('3 VERI GIRISI'!$AE$6:$AE$44,9),'3 VERI GIRISI'!$AE$6:$AE$44,0)),"")</f>
        <v>30</v>
      </c>
      <c r="D18" s="62" t="str">
        <f aca="false">IFERROR(INDEX('3 VERI GIRISI'!$AD$6:$AD$44,MATCH(LARGE('3 VERI GIRISI'!$AE$6:$AE$44,9),'3 VERI GIRISI'!$AE$6:$AE$44,0)),"")</f>
        <v>D</v>
      </c>
      <c r="E18" s="63" t="str">
        <f aca="false">IF(OR($B18="",$E$2&lt;2),"",IF(IFERROR(INDEX('4 AYLIK ARSIV'!$C$5:$N$43,MATCH($B18,'4 AYLIK ARSIV'!$B$5:$B$43,0),$E$2-1),0)=0,"",INDEX('4 AYLIK ARSIV'!$C$5:$N$43,MATCH($B18,'4 AYLIK ARSIV'!$B$5:$B$43,0),$E$2-1)))</f>
        <v/>
      </c>
      <c r="F18" s="64" t="str">
        <f aca="false">IF(OR($C18="",$E18=""),"",$C18-$E18)</f>
        <v/>
      </c>
      <c r="G18" s="38" t="str">
        <f aca="false">IF($F18="","—",IF($F18&gt;0,"▲",IF($F18&lt;0,"▼","▬")))</f>
        <v>—</v>
      </c>
      <c r="I18" s="65" t="str">
        <f aca="false">'1 AYAR'!B12</f>
        <v>Lise ziyareti (kaç okula?)</v>
      </c>
      <c r="J18" s="50" t="n">
        <f aca="false">IFERROR(SUMIF('3 VERI GIRISI'!$D$6:$D$44,"Evet",'3 VERI GIRISI'!V$6:V$44)/COUNTIF('3 VERI GIRISI'!$D$6:$D$44,"Evet"),0)</f>
        <v>0.888888888888889</v>
      </c>
      <c r="K18" s="18" t="n">
        <f aca="false">'1 AYAR'!E12</f>
        <v>5</v>
      </c>
      <c r="L18" s="66" t="n">
        <f aca="false">IFERROR(J18/K18,0)</f>
        <v>0.177777777777778</v>
      </c>
      <c r="M18" s="65" t="str">
        <f aca="false">IF(L18&lt;0.25,"🔴 ÇÖKMÜŞ — il seviyesinde seferberlik",IF(L18&lt;0.5,"🟠 ZAYIF — bu ayın hedefi buradan seçilsin",IF(L18&lt;0.75,"🟡 ORTA","🟢 İYİ")))</f>
        <v>🔴 ÇÖKMÜŞ — il seviyesinde seferberlik</v>
      </c>
    </row>
    <row r="19" customFormat="false" ht="22.35" hidden="false" customHeight="false" outlineLevel="0" collapsed="false">
      <c r="A19" s="24" t="n">
        <v>10</v>
      </c>
      <c r="B19" s="60" t="str">
        <f aca="false">IFERROR(INDEX('3 VERI GIRISI'!$C$6:$C$44,MATCH(LARGE('3 VERI GIRISI'!$AE$6:$AE$44,10),'3 VERI GIRISI'!$AE$6:$AE$44,0)),"")</f>
        <v/>
      </c>
      <c r="C19" s="61" t="str">
        <f aca="false">IFERROR(INDEX('3 VERI GIRISI'!$AC$6:$AC$44,MATCH(LARGE('3 VERI GIRISI'!$AE$6:$AE$44,10),'3 VERI GIRISI'!$AE$6:$AE$44,0)),"")</f>
        <v/>
      </c>
      <c r="D19" s="62" t="str">
        <f aca="false">IFERROR(INDEX('3 VERI GIRISI'!$AD$6:$AD$44,MATCH(LARGE('3 VERI GIRISI'!$AE$6:$AE$44,10),'3 VERI GIRISI'!$AE$6:$AE$44,0)),"")</f>
        <v/>
      </c>
      <c r="E19" s="63" t="str">
        <f aca="false">IF(OR($B19="",$E$2&lt;2),"",IF(IFERROR(INDEX('4 AYLIK ARSIV'!$C$5:$N$43,MATCH($B19,'4 AYLIK ARSIV'!$B$5:$B$43,0),$E$2-1),0)=0,"",INDEX('4 AYLIK ARSIV'!$C$5:$N$43,MATCH($B19,'4 AYLIK ARSIV'!$B$5:$B$43,0),$E$2-1)))</f>
        <v/>
      </c>
      <c r="F19" s="64" t="str">
        <f aca="false">IF(OR($C19="",$E19=""),"",$C19-$E19)</f>
        <v/>
      </c>
      <c r="G19" s="38" t="str">
        <f aca="false">IF($F19="","—",IF($F19&gt;0,"▲",IF($F19&lt;0,"▼","▬")))</f>
        <v>—</v>
      </c>
      <c r="I19" s="65" t="str">
        <f aca="false">'1 AYAR'!B13</f>
        <v>Bağışçı ziyareti (kaç ziyaret?)</v>
      </c>
      <c r="J19" s="50" t="n">
        <f aca="false">IFERROR(SUMIF('3 VERI GIRISI'!$D$6:$D$44,"Evet",'3 VERI GIRISI'!X$6:X$44)/COUNTIF('3 VERI GIRISI'!$D$6:$D$44,"Evet"),0)</f>
        <v>1.44444444444444</v>
      </c>
      <c r="K19" s="18" t="n">
        <f aca="false">'1 AYAR'!E13</f>
        <v>5</v>
      </c>
      <c r="L19" s="66" t="n">
        <f aca="false">IFERROR(J19/K19,0)</f>
        <v>0.288888888888889</v>
      </c>
      <c r="M19" s="65" t="str">
        <f aca="false">IF(L19&lt;0.25,"🔴 ÇÖKMÜŞ — il seviyesinde seferberlik",IF(L19&lt;0.5,"🟠 ZAYIF — bu ayın hedefi buradan seçilsin",IF(L19&lt;0.75,"🟡 ORTA","🟢 İYİ")))</f>
        <v>🟠 ZAYIF — bu ayın hedefi buradan seçilsin</v>
      </c>
    </row>
    <row r="20" customFormat="false" ht="22.35" hidden="false" customHeight="false" outlineLevel="0" collapsed="false">
      <c r="A20" s="24" t="n">
        <v>11</v>
      </c>
      <c r="B20" s="60" t="str">
        <f aca="false">IFERROR(INDEX('3 VERI GIRISI'!$C$6:$C$44,MATCH(LARGE('3 VERI GIRISI'!$AE$6:$AE$44,11),'3 VERI GIRISI'!$AE$6:$AE$44,0)),"")</f>
        <v/>
      </c>
      <c r="C20" s="61" t="str">
        <f aca="false">IFERROR(INDEX('3 VERI GIRISI'!$AC$6:$AC$44,MATCH(LARGE('3 VERI GIRISI'!$AE$6:$AE$44,11),'3 VERI GIRISI'!$AE$6:$AE$44,0)),"")</f>
        <v/>
      </c>
      <c r="D20" s="62" t="str">
        <f aca="false">IFERROR(INDEX('3 VERI GIRISI'!$AD$6:$AD$44,MATCH(LARGE('3 VERI GIRISI'!$AE$6:$AE$44,11),'3 VERI GIRISI'!$AE$6:$AE$44,0)),"")</f>
        <v/>
      </c>
      <c r="E20" s="63" t="str">
        <f aca="false">IF(OR($B20="",$E$2&lt;2),"",IF(IFERROR(INDEX('4 AYLIK ARSIV'!$C$5:$N$43,MATCH($B20,'4 AYLIK ARSIV'!$B$5:$B$43,0),$E$2-1),0)=0,"",INDEX('4 AYLIK ARSIV'!$C$5:$N$43,MATCH($B20,'4 AYLIK ARSIV'!$B$5:$B$43,0),$E$2-1)))</f>
        <v/>
      </c>
      <c r="F20" s="64" t="str">
        <f aca="false">IF(OR($C20="",$E20=""),"",$C20-$E20)</f>
        <v/>
      </c>
      <c r="G20" s="38" t="str">
        <f aca="false">IF($F20="","—",IF($F20&gt;0,"▲",IF($F20&lt;0,"▼","▬")))</f>
        <v>—</v>
      </c>
      <c r="I20" s="65" t="str">
        <f aca="false">'1 AYAR'!B14</f>
        <v>Kurumsal ziyaret (kaç kurum?)</v>
      </c>
      <c r="J20" s="50" t="n">
        <f aca="false">IFERROR(SUMIF('3 VERI GIRISI'!$D$6:$D$44,"Evet",'3 VERI GIRISI'!Z$6:Z$44)/COUNTIF('3 VERI GIRISI'!$D$6:$D$44,"Evet"),0)</f>
        <v>1.33333333333333</v>
      </c>
      <c r="K20" s="18" t="n">
        <f aca="false">'1 AYAR'!E14</f>
        <v>5</v>
      </c>
      <c r="L20" s="66" t="n">
        <f aca="false">IFERROR(J20/K20,0)</f>
        <v>0.266666666666667</v>
      </c>
      <c r="M20" s="65" t="str">
        <f aca="false">IF(L20&lt;0.25,"🔴 ÇÖKMÜŞ — il seviyesinde seferberlik",IF(L20&lt;0.5,"🟠 ZAYIF — bu ayın hedefi buradan seçilsin",IF(L20&lt;0.75,"🟡 ORTA","🟢 İYİ")))</f>
        <v>🟠 ZAYIF — bu ayın hedefi buradan seçilsin</v>
      </c>
    </row>
    <row r="21" customFormat="false" ht="22.35" hidden="false" customHeight="false" outlineLevel="0" collapsed="false">
      <c r="A21" s="24" t="n">
        <v>12</v>
      </c>
      <c r="B21" s="60" t="str">
        <f aca="false">IFERROR(INDEX('3 VERI GIRISI'!$C$6:$C$44,MATCH(LARGE('3 VERI GIRISI'!$AE$6:$AE$44,12),'3 VERI GIRISI'!$AE$6:$AE$44,0)),"")</f>
        <v/>
      </c>
      <c r="C21" s="61" t="str">
        <f aca="false">IFERROR(INDEX('3 VERI GIRISI'!$AC$6:$AC$44,MATCH(LARGE('3 VERI GIRISI'!$AE$6:$AE$44,12),'3 VERI GIRISI'!$AE$6:$AE$44,0)),"")</f>
        <v/>
      </c>
      <c r="D21" s="62" t="str">
        <f aca="false">IFERROR(INDEX('3 VERI GIRISI'!$AD$6:$AD$44,MATCH(LARGE('3 VERI GIRISI'!$AE$6:$AE$44,12),'3 VERI GIRISI'!$AE$6:$AE$44,0)),"")</f>
        <v/>
      </c>
      <c r="E21" s="63" t="str">
        <f aca="false">IF(OR($B21="",$E$2&lt;2),"",IF(IFERROR(INDEX('4 AYLIK ARSIV'!$C$5:$N$43,MATCH($B21,'4 AYLIK ARSIV'!$B$5:$B$43,0),$E$2-1),0)=0,"",INDEX('4 AYLIK ARSIV'!$C$5:$N$43,MATCH($B21,'4 AYLIK ARSIV'!$B$5:$B$43,0),$E$2-1)))</f>
        <v/>
      </c>
      <c r="F21" s="64" t="str">
        <f aca="false">IF(OR($C21="",$E21=""),"",$C21-$E21)</f>
        <v/>
      </c>
      <c r="G21" s="38" t="str">
        <f aca="false">IF($F21="","—",IF($F21&gt;0,"▲",IF($F21&lt;0,"▼","▬")))</f>
        <v>—</v>
      </c>
      <c r="I21" s="65" t="str">
        <f aca="false">'1 AYAR'!B15</f>
        <v>İlçeye özgün çalışma (nerede, ne zaman, ne yapıldı?)</v>
      </c>
      <c r="J21" s="50" t="n">
        <f aca="false">IFERROR(SUMIF('3 VERI GIRISI'!$D$6:$D$44,"Evet",'3 VERI GIRISI'!AB$6:AB$44)/COUNTIF('3 VERI GIRISI'!$D$6:$D$44,"Evet"),0)</f>
        <v>3.33333333333333</v>
      </c>
      <c r="K21" s="18" t="n">
        <f aca="false">'1 AYAR'!E15</f>
        <v>5</v>
      </c>
      <c r="L21" s="66" t="n">
        <f aca="false">IFERROR(J21/K21,0)</f>
        <v>0.666666666666667</v>
      </c>
      <c r="M21" s="65" t="str">
        <f aca="false">IF(L21&lt;0.25,"🔴 ÇÖKMÜŞ — il seviyesinde seferberlik",IF(L21&lt;0.5,"🟠 ZAYIF — bu ayın hedefi buradan seçilsin",IF(L21&lt;0.75,"🟡 ORTA","🟢 İYİ")))</f>
        <v>🟡 ORTA</v>
      </c>
    </row>
    <row r="22" customFormat="false" ht="15" hidden="false" customHeight="false" outlineLevel="0" collapsed="false">
      <c r="A22" s="24" t="n">
        <v>13</v>
      </c>
      <c r="B22" s="60" t="str">
        <f aca="false">IFERROR(INDEX('3 VERI GIRISI'!$C$6:$C$44,MATCH(LARGE('3 VERI GIRISI'!$AE$6:$AE$44,13),'3 VERI GIRISI'!$AE$6:$AE$44,0)),"")</f>
        <v/>
      </c>
      <c r="C22" s="61" t="str">
        <f aca="false">IFERROR(INDEX('3 VERI GIRISI'!$AC$6:$AC$44,MATCH(LARGE('3 VERI GIRISI'!$AE$6:$AE$44,13),'3 VERI GIRISI'!$AE$6:$AE$44,0)),"")</f>
        <v/>
      </c>
      <c r="D22" s="62" t="str">
        <f aca="false">IFERROR(INDEX('3 VERI GIRISI'!$AD$6:$AD$44,MATCH(LARGE('3 VERI GIRISI'!$AE$6:$AE$44,13),'3 VERI GIRISI'!$AE$6:$AE$44,0)),"")</f>
        <v/>
      </c>
      <c r="E22" s="63" t="str">
        <f aca="false">IF(OR($B22="",$E$2&lt;2),"",IF(IFERROR(INDEX('4 AYLIK ARSIV'!$C$5:$N$43,MATCH($B22,'4 AYLIK ARSIV'!$B$5:$B$43,0),$E$2-1),0)=0,"",INDEX('4 AYLIK ARSIV'!$C$5:$N$43,MATCH($B22,'4 AYLIK ARSIV'!$B$5:$B$43,0),$E$2-1)))</f>
        <v/>
      </c>
      <c r="F22" s="64" t="str">
        <f aca="false">IF(OR($C22="",$E22=""),"",$C22-$E22)</f>
        <v/>
      </c>
      <c r="G22" s="38" t="str">
        <f aca="false">IF($F22="","—",IF($F22&gt;0,"▲",IF($F22&lt;0,"▼","▬")))</f>
        <v>—</v>
      </c>
    </row>
    <row r="23" customFormat="false" ht="15" hidden="false" customHeight="true" outlineLevel="0" collapsed="false">
      <c r="A23" s="24" t="n">
        <v>14</v>
      </c>
      <c r="B23" s="60" t="str">
        <f aca="false">IFERROR(INDEX('3 VERI GIRISI'!$C$6:$C$44,MATCH(LARGE('3 VERI GIRISI'!$AE$6:$AE$44,14),'3 VERI GIRISI'!$AE$6:$AE$44,0)),"")</f>
        <v/>
      </c>
      <c r="C23" s="61" t="str">
        <f aca="false">IFERROR(INDEX('3 VERI GIRISI'!$AC$6:$AC$44,MATCH(LARGE('3 VERI GIRISI'!$AE$6:$AE$44,14),'3 VERI GIRISI'!$AE$6:$AE$44,0)),"")</f>
        <v/>
      </c>
      <c r="D23" s="62" t="str">
        <f aca="false">IFERROR(INDEX('3 VERI GIRISI'!$AD$6:$AD$44,MATCH(LARGE('3 VERI GIRISI'!$AE$6:$AE$44,14),'3 VERI GIRISI'!$AE$6:$AE$44,0)),"")</f>
        <v/>
      </c>
      <c r="E23" s="63" t="str">
        <f aca="false">IF(OR($B23="",$E$2&lt;2),"",IF(IFERROR(INDEX('4 AYLIK ARSIV'!$C$5:$N$43,MATCH($B23,'4 AYLIK ARSIV'!$B$5:$B$43,0),$E$2-1),0)=0,"",INDEX('4 AYLIK ARSIV'!$C$5:$N$43,MATCH($B23,'4 AYLIK ARSIV'!$B$5:$B$43,0),$E$2-1)))</f>
        <v/>
      </c>
      <c r="F23" s="64" t="str">
        <f aca="false">IF(OR($C23="",$E23=""),"",$C23-$E23)</f>
        <v/>
      </c>
      <c r="G23" s="38" t="str">
        <f aca="false">IF($F23="","—",IF($F23&gt;0,"▲",IF($F23&lt;0,"▼","▬")))</f>
        <v>—</v>
      </c>
      <c r="I23" s="67" t="s">
        <v>285</v>
      </c>
      <c r="J23" s="67"/>
      <c r="K23" s="67"/>
      <c r="L23" s="67"/>
      <c r="M23" s="67"/>
    </row>
    <row r="24" customFormat="false" ht="15" hidden="false" customHeight="false" outlineLevel="0" collapsed="false">
      <c r="A24" s="24" t="n">
        <v>15</v>
      </c>
      <c r="B24" s="60" t="str">
        <f aca="false">IFERROR(INDEX('3 VERI GIRISI'!$C$6:$C$44,MATCH(LARGE('3 VERI GIRISI'!$AE$6:$AE$44,15),'3 VERI GIRISI'!$AE$6:$AE$44,0)),"")</f>
        <v/>
      </c>
      <c r="C24" s="61" t="str">
        <f aca="false">IFERROR(INDEX('3 VERI GIRISI'!$AC$6:$AC$44,MATCH(LARGE('3 VERI GIRISI'!$AE$6:$AE$44,15),'3 VERI GIRISI'!$AE$6:$AE$44,0)),"")</f>
        <v/>
      </c>
      <c r="D24" s="62" t="str">
        <f aca="false">IFERROR(INDEX('3 VERI GIRISI'!$AD$6:$AD$44,MATCH(LARGE('3 VERI GIRISI'!$AE$6:$AE$44,15),'3 VERI GIRISI'!$AE$6:$AE$44,0)),"")</f>
        <v/>
      </c>
      <c r="E24" s="63" t="str">
        <f aca="false">IF(OR($B24="",$E$2&lt;2),"",IF(IFERROR(INDEX('4 AYLIK ARSIV'!$C$5:$N$43,MATCH($B24,'4 AYLIK ARSIV'!$B$5:$B$43,0),$E$2-1),0)=0,"",INDEX('4 AYLIK ARSIV'!$C$5:$N$43,MATCH($B24,'4 AYLIK ARSIV'!$B$5:$B$43,0),$E$2-1)))</f>
        <v/>
      </c>
      <c r="F24" s="64" t="str">
        <f aca="false">IF(OR($C24="",$E24=""),"",$C24-$E24)</f>
        <v/>
      </c>
      <c r="G24" s="38" t="str">
        <f aca="false">IF($F24="","—",IF($F24&gt;0,"▲",IF($F24&lt;0,"▼","▬")))</f>
        <v>—</v>
      </c>
      <c r="I24" s="67"/>
      <c r="J24" s="67"/>
      <c r="K24" s="67"/>
      <c r="L24" s="67"/>
      <c r="M24" s="67"/>
    </row>
    <row r="25" customFormat="false" ht="15" hidden="false" customHeight="false" outlineLevel="0" collapsed="false">
      <c r="A25" s="24" t="n">
        <v>16</v>
      </c>
      <c r="B25" s="60" t="str">
        <f aca="false">IFERROR(INDEX('3 VERI GIRISI'!$C$6:$C$44,MATCH(LARGE('3 VERI GIRISI'!$AE$6:$AE$44,16),'3 VERI GIRISI'!$AE$6:$AE$44,0)),"")</f>
        <v/>
      </c>
      <c r="C25" s="61" t="str">
        <f aca="false">IFERROR(INDEX('3 VERI GIRISI'!$AC$6:$AC$44,MATCH(LARGE('3 VERI GIRISI'!$AE$6:$AE$44,16),'3 VERI GIRISI'!$AE$6:$AE$44,0)),"")</f>
        <v/>
      </c>
      <c r="D25" s="62" t="str">
        <f aca="false">IFERROR(INDEX('3 VERI GIRISI'!$AD$6:$AD$44,MATCH(LARGE('3 VERI GIRISI'!$AE$6:$AE$44,16),'3 VERI GIRISI'!$AE$6:$AE$44,0)),"")</f>
        <v/>
      </c>
      <c r="E25" s="63" t="str">
        <f aca="false">IF(OR($B25="",$E$2&lt;2),"",IF(IFERROR(INDEX('4 AYLIK ARSIV'!$C$5:$N$43,MATCH($B25,'4 AYLIK ARSIV'!$B$5:$B$43,0),$E$2-1),0)=0,"",INDEX('4 AYLIK ARSIV'!$C$5:$N$43,MATCH($B25,'4 AYLIK ARSIV'!$B$5:$B$43,0),$E$2-1)))</f>
        <v/>
      </c>
      <c r="F25" s="64" t="str">
        <f aca="false">IF(OR($C25="",$E25=""),"",$C25-$E25)</f>
        <v/>
      </c>
      <c r="G25" s="38" t="str">
        <f aca="false">IF($F25="","—",IF($F25&gt;0,"▲",IF($F25&lt;0,"▼","▬")))</f>
        <v>—</v>
      </c>
      <c r="I25" s="67"/>
      <c r="J25" s="67"/>
      <c r="K25" s="67"/>
      <c r="L25" s="67"/>
      <c r="M25" s="67"/>
    </row>
    <row r="26" customFormat="false" ht="15" hidden="false" customHeight="false" outlineLevel="0" collapsed="false">
      <c r="A26" s="24" t="n">
        <v>17</v>
      </c>
      <c r="B26" s="60" t="str">
        <f aca="false">IFERROR(INDEX('3 VERI GIRISI'!$C$6:$C$44,MATCH(LARGE('3 VERI GIRISI'!$AE$6:$AE$44,17),'3 VERI GIRISI'!$AE$6:$AE$44,0)),"")</f>
        <v/>
      </c>
      <c r="C26" s="61" t="str">
        <f aca="false">IFERROR(INDEX('3 VERI GIRISI'!$AC$6:$AC$44,MATCH(LARGE('3 VERI GIRISI'!$AE$6:$AE$44,17),'3 VERI GIRISI'!$AE$6:$AE$44,0)),"")</f>
        <v/>
      </c>
      <c r="D26" s="62" t="str">
        <f aca="false">IFERROR(INDEX('3 VERI GIRISI'!$AD$6:$AD$44,MATCH(LARGE('3 VERI GIRISI'!$AE$6:$AE$44,17),'3 VERI GIRISI'!$AE$6:$AE$44,0)),"")</f>
        <v/>
      </c>
      <c r="E26" s="63" t="str">
        <f aca="false">IF(OR($B26="",$E$2&lt;2),"",IF(IFERROR(INDEX('4 AYLIK ARSIV'!$C$5:$N$43,MATCH($B26,'4 AYLIK ARSIV'!$B$5:$B$43,0),$E$2-1),0)=0,"",INDEX('4 AYLIK ARSIV'!$C$5:$N$43,MATCH($B26,'4 AYLIK ARSIV'!$B$5:$B$43,0),$E$2-1)))</f>
        <v/>
      </c>
      <c r="F26" s="64" t="str">
        <f aca="false">IF(OR($C26="",$E26=""),"",$C26-$E26)</f>
        <v/>
      </c>
      <c r="G26" s="38" t="str">
        <f aca="false">IF($F26="","—",IF($F26&gt;0,"▲",IF($F26&lt;0,"▼","▬")))</f>
        <v>—</v>
      </c>
      <c r="I26" s="67"/>
      <c r="J26" s="67"/>
      <c r="K26" s="67"/>
      <c r="L26" s="67"/>
      <c r="M26" s="67"/>
    </row>
    <row r="27" customFormat="false" ht="15" hidden="false" customHeight="false" outlineLevel="0" collapsed="false">
      <c r="A27" s="24" t="n">
        <v>18</v>
      </c>
      <c r="B27" s="60" t="str">
        <f aca="false">IFERROR(INDEX('3 VERI GIRISI'!$C$6:$C$44,MATCH(LARGE('3 VERI GIRISI'!$AE$6:$AE$44,18),'3 VERI GIRISI'!$AE$6:$AE$44,0)),"")</f>
        <v/>
      </c>
      <c r="C27" s="61" t="str">
        <f aca="false">IFERROR(INDEX('3 VERI GIRISI'!$AC$6:$AC$44,MATCH(LARGE('3 VERI GIRISI'!$AE$6:$AE$44,18),'3 VERI GIRISI'!$AE$6:$AE$44,0)),"")</f>
        <v/>
      </c>
      <c r="D27" s="62" t="str">
        <f aca="false">IFERROR(INDEX('3 VERI GIRISI'!$AD$6:$AD$44,MATCH(LARGE('3 VERI GIRISI'!$AE$6:$AE$44,18),'3 VERI GIRISI'!$AE$6:$AE$44,0)),"")</f>
        <v/>
      </c>
      <c r="E27" s="63" t="str">
        <f aca="false">IF(OR($B27="",$E$2&lt;2),"",IF(IFERROR(INDEX('4 AYLIK ARSIV'!$C$5:$N$43,MATCH($B27,'4 AYLIK ARSIV'!$B$5:$B$43,0),$E$2-1),0)=0,"",INDEX('4 AYLIK ARSIV'!$C$5:$N$43,MATCH($B27,'4 AYLIK ARSIV'!$B$5:$B$43,0),$E$2-1)))</f>
        <v/>
      </c>
      <c r="F27" s="64" t="str">
        <f aca="false">IF(OR($C27="",$E27=""),"",$C27-$E27)</f>
        <v/>
      </c>
      <c r="G27" s="38" t="str">
        <f aca="false">IF($F27="","—",IF($F27&gt;0,"▲",IF($F27&lt;0,"▼","▬")))</f>
        <v>—</v>
      </c>
      <c r="I27" s="67"/>
      <c r="J27" s="67"/>
      <c r="K27" s="67"/>
      <c r="L27" s="67"/>
      <c r="M27" s="67"/>
    </row>
    <row r="28" customFormat="false" ht="15" hidden="false" customHeight="false" outlineLevel="0" collapsed="false">
      <c r="A28" s="24" t="n">
        <v>19</v>
      </c>
      <c r="B28" s="60" t="str">
        <f aca="false">IFERROR(INDEX('3 VERI GIRISI'!$C$6:$C$44,MATCH(LARGE('3 VERI GIRISI'!$AE$6:$AE$44,19),'3 VERI GIRISI'!$AE$6:$AE$44,0)),"")</f>
        <v/>
      </c>
      <c r="C28" s="61" t="str">
        <f aca="false">IFERROR(INDEX('3 VERI GIRISI'!$AC$6:$AC$44,MATCH(LARGE('3 VERI GIRISI'!$AE$6:$AE$44,19),'3 VERI GIRISI'!$AE$6:$AE$44,0)),"")</f>
        <v/>
      </c>
      <c r="D28" s="62" t="str">
        <f aca="false">IFERROR(INDEX('3 VERI GIRISI'!$AD$6:$AD$44,MATCH(LARGE('3 VERI GIRISI'!$AE$6:$AE$44,19),'3 VERI GIRISI'!$AE$6:$AE$44,0)),"")</f>
        <v/>
      </c>
      <c r="E28" s="63" t="str">
        <f aca="false">IF(OR($B28="",$E$2&lt;2),"",IF(IFERROR(INDEX('4 AYLIK ARSIV'!$C$5:$N$43,MATCH($B28,'4 AYLIK ARSIV'!$B$5:$B$43,0),$E$2-1),0)=0,"",INDEX('4 AYLIK ARSIV'!$C$5:$N$43,MATCH($B28,'4 AYLIK ARSIV'!$B$5:$B$43,0),$E$2-1)))</f>
        <v/>
      </c>
      <c r="F28" s="64" t="str">
        <f aca="false">IF(OR($C28="",$E28=""),"",$C28-$E28)</f>
        <v/>
      </c>
      <c r="G28" s="38" t="str">
        <f aca="false">IF($F28="","—",IF($F28&gt;0,"▲",IF($F28&lt;0,"▼","▬")))</f>
        <v>—</v>
      </c>
    </row>
    <row r="29" customFormat="false" ht="15" hidden="false" customHeight="false" outlineLevel="0" collapsed="false">
      <c r="A29" s="24" t="n">
        <v>20</v>
      </c>
      <c r="B29" s="60" t="str">
        <f aca="false">IFERROR(INDEX('3 VERI GIRISI'!$C$6:$C$44,MATCH(LARGE('3 VERI GIRISI'!$AE$6:$AE$44,20),'3 VERI GIRISI'!$AE$6:$AE$44,0)),"")</f>
        <v/>
      </c>
      <c r="C29" s="61" t="str">
        <f aca="false">IFERROR(INDEX('3 VERI GIRISI'!$AC$6:$AC$44,MATCH(LARGE('3 VERI GIRISI'!$AE$6:$AE$44,20),'3 VERI GIRISI'!$AE$6:$AE$44,0)),"")</f>
        <v/>
      </c>
      <c r="D29" s="62" t="str">
        <f aca="false">IFERROR(INDEX('3 VERI GIRISI'!$AD$6:$AD$44,MATCH(LARGE('3 VERI GIRISI'!$AE$6:$AE$44,20),'3 VERI GIRISI'!$AE$6:$AE$44,0)),"")</f>
        <v/>
      </c>
      <c r="E29" s="63" t="str">
        <f aca="false">IF(OR($B29="",$E$2&lt;2),"",IF(IFERROR(INDEX('4 AYLIK ARSIV'!$C$5:$N$43,MATCH($B29,'4 AYLIK ARSIV'!$B$5:$B$43,0),$E$2-1),0)=0,"",INDEX('4 AYLIK ARSIV'!$C$5:$N$43,MATCH($B29,'4 AYLIK ARSIV'!$B$5:$B$43,0),$E$2-1)))</f>
        <v/>
      </c>
      <c r="F29" s="64" t="str">
        <f aca="false">IF(OR($C29="",$E29=""),"",$C29-$E29)</f>
        <v/>
      </c>
      <c r="G29" s="38" t="str">
        <f aca="false">IF($F29="","—",IF($F29&gt;0,"▲",IF($F29&lt;0,"▼","▬")))</f>
        <v>—</v>
      </c>
    </row>
  </sheetData>
  <mergeCells count="16">
    <mergeCell ref="A1:P1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I23:M27"/>
  </mergeCells>
  <conditionalFormatting sqref="C10:C29">
    <cfRule type="colorScale" priority="2">
      <colorScale>
        <cfvo type="num" val="0"/>
        <cfvo type="num" val="45"/>
        <cfvo type="num" val="80"/>
        <color rgb="FFF8696B"/>
        <color rgb="FFFFEB84"/>
        <color rgb="FF63BE7B"/>
      </colorScale>
    </cfRule>
  </conditionalFormatting>
  <conditionalFormatting sqref="L10:L21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2026-07-11T12:44:11Z</dcterms:created>
  <dc:creator>openpyxl</dc:creator>
  <dc:description/>
  <dc:language>en-US</dc:language>
  <cp:lastModifiedBy/>
  <dcterms:modified xsi:type="dcterms:W3CDTF">2026-07-11T12:44:15Z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